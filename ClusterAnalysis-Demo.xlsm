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le\Documents\writtenworks\Resume&amp;Related\Sample\Sample\"/>
    </mc:Choice>
  </mc:AlternateContent>
  <bookViews>
    <workbookView xWindow="0" yWindow="0" windowWidth="23040" windowHeight="9720" activeTab="1" xr2:uid="{00000000-000D-0000-FFFF-FFFF00000000}"/>
  </bookViews>
  <sheets>
    <sheet name="Explanation" sheetId="5" r:id="rId1"/>
    <sheet name="ClusterAnalysis" sheetId="4" r:id="rId2"/>
  </sheets>
  <definedNames>
    <definedName name="CalculateCentroids">ClusterAnalysis!$R$16:$CG$25</definedName>
    <definedName name="clusterValues">ClusterAnalysis!$CH$35:$CH$143</definedName>
    <definedName name="Factors">ClusterAnalysis!$Q$2</definedName>
    <definedName name="isEqual">ClusterAnalysis!#REF!</definedName>
    <definedName name="Names">ClusterAnalysis!$Q$34</definedName>
    <definedName name="newCentroids">ClusterAnalysis!$R$3:$CG$12</definedName>
    <definedName name="newClusters">ClusterAnalysis!$E$35:$E$143</definedName>
    <definedName name="numClusters">ClusterAnalysis!$R$31</definedName>
    <definedName name="prevClusters">ClusterAnalysis!$D$35:$D$143</definedName>
    <definedName name="Random1">ClusterAnalysis!$P$3</definedName>
    <definedName name="Random2">ClusterAnalysis!$P$4</definedName>
    <definedName name="Random3">ClusterAnalysis!$P$5</definedName>
    <definedName name="randomStartingCentroids">ClusterAnalysis!$P$3:$P$5</definedName>
    <definedName name="Seed">ClusterAnalysis!$V$31</definedName>
    <definedName name="sortKeyCluster">ClusterAnalysis!$CH$34</definedName>
    <definedName name="sortKeyName">ClusterAnalysis!$Q$35:$Q$143</definedName>
    <definedName name="sortRange">ClusterAnalysis!$Q$34:$CH$143</definedName>
    <definedName name="timeToStop">ClusterAnalysis!$B$35</definedName>
  </definedNames>
  <calcPr calcId="171027"/>
</workbook>
</file>

<file path=xl/calcChain.xml><?xml version="1.0" encoding="utf-8"?>
<calcChain xmlns="http://schemas.openxmlformats.org/spreadsheetml/2006/main">
  <c r="G35" i="4" l="1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N58" i="4" a="1"/>
  <c r="N58" i="4" s="1"/>
  <c r="O58" i="4" a="1"/>
  <c r="O58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G108" i="4" a="1"/>
  <c r="G108" i="4" s="1"/>
  <c r="H108" i="4" a="1"/>
  <c r="H108" i="4" s="1"/>
  <c r="I108" i="4" a="1"/>
  <c r="I108" i="4" s="1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F36" i="4" a="1"/>
  <c r="F36" i="4" s="1"/>
  <c r="E36" i="4" s="1"/>
  <c r="F37" i="4" a="1"/>
  <c r="F37" i="4" s="1"/>
  <c r="E37" i="4" s="1"/>
  <c r="F38" i="4" a="1"/>
  <c r="F38" i="4" s="1"/>
  <c r="E38" i="4" s="1"/>
  <c r="F39" i="4" a="1"/>
  <c r="F39" i="4" s="1"/>
  <c r="E39" i="4" s="1"/>
  <c r="F40" i="4" a="1"/>
  <c r="F40" i="4" s="1"/>
  <c r="E40" i="4" s="1"/>
  <c r="F41" i="4" a="1"/>
  <c r="F41" i="4" s="1"/>
  <c r="E41" i="4" s="1"/>
  <c r="F42" i="4" a="1"/>
  <c r="F42" i="4" s="1"/>
  <c r="E42" i="4" s="1"/>
  <c r="F43" i="4" a="1"/>
  <c r="F43" i="4" s="1"/>
  <c r="E43" i="4" s="1"/>
  <c r="F44" i="4" a="1"/>
  <c r="F44" i="4" s="1"/>
  <c r="E44" i="4" s="1"/>
  <c r="F45" i="4" a="1"/>
  <c r="F45" i="4" s="1"/>
  <c r="E45" i="4" s="1"/>
  <c r="F46" i="4" a="1"/>
  <c r="F46" i="4" s="1"/>
  <c r="E46" i="4" s="1"/>
  <c r="F47" i="4" a="1"/>
  <c r="F47" i="4" s="1"/>
  <c r="F48" i="4" a="1"/>
  <c r="F48" i="4" s="1"/>
  <c r="E48" i="4" s="1"/>
  <c r="F49" i="4" a="1"/>
  <c r="F49" i="4" s="1"/>
  <c r="F50" i="4" a="1"/>
  <c r="F50" i="4" s="1"/>
  <c r="F51" i="4" a="1"/>
  <c r="F51" i="4" s="1"/>
  <c r="F52" i="4" a="1"/>
  <c r="F52" i="4" s="1"/>
  <c r="E52" i="4" s="1"/>
  <c r="F53" i="4" a="1"/>
  <c r="F53" i="4" s="1"/>
  <c r="E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E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E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35" i="4" a="1"/>
  <c r="F35" i="4" s="1"/>
  <c r="E35" i="4" s="1"/>
  <c r="E141" i="4" l="1"/>
  <c r="E133" i="4"/>
  <c r="E125" i="4"/>
  <c r="E117" i="4"/>
  <c r="E109" i="4"/>
  <c r="E101" i="4"/>
  <c r="E93" i="4"/>
  <c r="E85" i="4"/>
  <c r="E77" i="4"/>
  <c r="E142" i="4"/>
  <c r="E134" i="4"/>
  <c r="E126" i="4"/>
  <c r="E118" i="4"/>
  <c r="E110" i="4"/>
  <c r="E102" i="4"/>
  <c r="E94" i="4"/>
  <c r="E86" i="4"/>
  <c r="E78" i="4"/>
  <c r="E70" i="4"/>
  <c r="E62" i="4"/>
  <c r="E54" i="4"/>
  <c r="E124" i="4"/>
  <c r="E100" i="4"/>
  <c r="E92" i="4"/>
  <c r="E84" i="4"/>
  <c r="CH44" i="4" s="1"/>
  <c r="E76" i="4"/>
  <c r="E68" i="4"/>
  <c r="E60" i="4"/>
  <c r="E116" i="4"/>
  <c r="CH54" i="4" s="1"/>
  <c r="E139" i="4"/>
  <c r="E131" i="4"/>
  <c r="CH142" i="4" s="1"/>
  <c r="E123" i="4"/>
  <c r="E115" i="4"/>
  <c r="E107" i="4"/>
  <c r="E99" i="4"/>
  <c r="E91" i="4"/>
  <c r="E83" i="4"/>
  <c r="E75" i="4"/>
  <c r="E67" i="4"/>
  <c r="E59" i="4"/>
  <c r="E51" i="4"/>
  <c r="E140" i="4"/>
  <c r="E108" i="4"/>
  <c r="E130" i="4"/>
  <c r="E122" i="4"/>
  <c r="E114" i="4"/>
  <c r="E106" i="4"/>
  <c r="E98" i="4"/>
  <c r="E90" i="4"/>
  <c r="E82" i="4"/>
  <c r="E74" i="4"/>
  <c r="E66" i="4"/>
  <c r="E58" i="4"/>
  <c r="E50" i="4"/>
  <c r="E132" i="4"/>
  <c r="E138" i="4"/>
  <c r="E137" i="4"/>
  <c r="E129" i="4"/>
  <c r="E121" i="4"/>
  <c r="E113" i="4"/>
  <c r="E105" i="4"/>
  <c r="E97" i="4"/>
  <c r="E89" i="4"/>
  <c r="E81" i="4"/>
  <c r="E73" i="4"/>
  <c r="E65" i="4"/>
  <c r="E57" i="4"/>
  <c r="E49" i="4"/>
  <c r="E128" i="4"/>
  <c r="E120" i="4"/>
  <c r="E112" i="4"/>
  <c r="E104" i="4"/>
  <c r="CH104" i="4" s="1"/>
  <c r="E96" i="4"/>
  <c r="E88" i="4"/>
  <c r="E80" i="4"/>
  <c r="E72" i="4"/>
  <c r="E64" i="4"/>
  <c r="CH129" i="4" s="1"/>
  <c r="E56" i="4"/>
  <c r="AH21" i="4" s="1"/>
  <c r="E136" i="4"/>
  <c r="E143" i="4"/>
  <c r="E135" i="4"/>
  <c r="E127" i="4"/>
  <c r="E119" i="4"/>
  <c r="E111" i="4"/>
  <c r="E103" i="4"/>
  <c r="E95" i="4"/>
  <c r="E87" i="4"/>
  <c r="E79" i="4"/>
  <c r="E71" i="4"/>
  <c r="E63" i="4"/>
  <c r="E55" i="4"/>
  <c r="E47" i="4"/>
  <c r="CH122" i="4"/>
  <c r="CH79" i="4" l="1"/>
  <c r="CH123" i="4"/>
  <c r="AE19" i="4"/>
  <c r="AV24" i="4"/>
  <c r="CE24" i="4"/>
  <c r="BT23" i="4"/>
  <c r="AN25" i="4"/>
  <c r="BV25" i="4"/>
  <c r="BU22" i="4"/>
  <c r="BH16" i="4"/>
  <c r="S17" i="4"/>
  <c r="BJ25" i="4"/>
  <c r="Z18" i="4"/>
  <c r="BX18" i="4"/>
  <c r="AF24" i="4"/>
  <c r="BN24" i="4"/>
  <c r="AA25" i="4"/>
  <c r="AB20" i="4"/>
  <c r="U19" i="4"/>
  <c r="CA25" i="4"/>
  <c r="T24" i="4"/>
  <c r="CA23" i="4"/>
  <c r="AF22" i="4"/>
  <c r="BP22" i="4"/>
  <c r="W25" i="4"/>
  <c r="CG25" i="4"/>
  <c r="BH18" i="4"/>
  <c r="W21" i="4"/>
  <c r="CE23" i="4"/>
  <c r="BX23" i="4"/>
  <c r="X24" i="4"/>
  <c r="BZ24" i="4"/>
  <c r="AM17" i="4"/>
  <c r="AO19" i="4"/>
  <c r="BD23" i="4"/>
  <c r="AN19" i="4"/>
  <c r="BZ21" i="4"/>
  <c r="AR25" i="4"/>
  <c r="AF17" i="4"/>
  <c r="BH20" i="4"/>
  <c r="CD23" i="4"/>
  <c r="AA20" i="4"/>
  <c r="CD20" i="4"/>
  <c r="BY21" i="4"/>
  <c r="BT20" i="4"/>
  <c r="BB18" i="4"/>
  <c r="R20" i="4"/>
  <c r="CC20" i="4"/>
  <c r="AZ19" i="4"/>
  <c r="AT16" i="4"/>
  <c r="AG25" i="4"/>
  <c r="AW17" i="4"/>
  <c r="AR24" i="4"/>
  <c r="AI18" i="4"/>
  <c r="V19" i="4"/>
  <c r="CG19" i="4"/>
  <c r="BP17" i="4"/>
  <c r="U22" i="4"/>
  <c r="AQ16" i="4"/>
  <c r="AD17" i="4"/>
  <c r="Y18" i="4"/>
  <c r="BW21" i="4"/>
  <c r="AG17" i="4"/>
  <c r="AP23" i="4"/>
  <c r="CE22" i="4"/>
  <c r="BR23" i="4"/>
  <c r="AH16" i="4"/>
  <c r="AC17" i="4"/>
  <c r="AA19" i="4"/>
  <c r="S22" i="4"/>
  <c r="BV22" i="4"/>
  <c r="BQ23" i="4"/>
  <c r="AG16" i="4"/>
  <c r="AB18" i="4"/>
  <c r="BR25" i="4"/>
  <c r="BV24" i="4"/>
  <c r="AF23" i="4"/>
  <c r="AB16" i="4"/>
  <c r="BT19" i="4"/>
  <c r="BE24" i="4"/>
  <c r="AZ25" i="4"/>
  <c r="BD24" i="4"/>
  <c r="BD21" i="4"/>
  <c r="BM24" i="4"/>
  <c r="AI25" i="4"/>
  <c r="AL24" i="4"/>
  <c r="BD19" i="4"/>
  <c r="CD25" i="4"/>
  <c r="R25" i="4"/>
  <c r="BL23" i="4"/>
  <c r="BD17" i="4"/>
  <c r="AJ20" i="4"/>
  <c r="BI24" i="4"/>
  <c r="AV25" i="4"/>
  <c r="AZ24" i="4"/>
  <c r="X21" i="4"/>
  <c r="S24" i="4"/>
  <c r="W23" i="4"/>
  <c r="AA22" i="4"/>
  <c r="AE21" i="4"/>
  <c r="AI20" i="4"/>
  <c r="AM19" i="4"/>
  <c r="AQ18" i="4"/>
  <c r="AU17" i="4"/>
  <c r="AY16" i="4"/>
  <c r="BZ23" i="4"/>
  <c r="CD22" i="4"/>
  <c r="R22" i="4"/>
  <c r="V21" i="4"/>
  <c r="Z20" i="4"/>
  <c r="AD19" i="4"/>
  <c r="AH18" i="4"/>
  <c r="AL17" i="4"/>
  <c r="AP16" i="4"/>
  <c r="BY23" i="4"/>
  <c r="CC22" i="4"/>
  <c r="CG21" i="4"/>
  <c r="U21" i="4"/>
  <c r="Y20" i="4"/>
  <c r="AC19" i="4"/>
  <c r="AG18" i="4"/>
  <c r="AK17" i="4"/>
  <c r="AO16" i="4"/>
  <c r="AN22" i="4"/>
  <c r="AB21" i="4"/>
  <c r="BH19" i="4"/>
  <c r="AN18" i="4"/>
  <c r="AV16" i="4"/>
  <c r="CE21" i="4"/>
  <c r="BW19" i="4"/>
  <c r="AA17" i="4"/>
  <c r="AP21" i="4"/>
  <c r="AH19" i="4"/>
  <c r="BB16" i="4"/>
  <c r="AC22" i="4"/>
  <c r="U20" i="4"/>
  <c r="AO17" i="4"/>
  <c r="S23" i="4"/>
  <c r="BI16" i="4"/>
  <c r="BS25" i="4"/>
  <c r="AH23" i="4"/>
  <c r="BB25" i="4"/>
  <c r="BF24" i="4"/>
  <c r="BT21" i="4"/>
  <c r="BA25" i="4"/>
  <c r="CB17" i="4"/>
  <c r="AB23" i="4"/>
  <c r="AJ25" i="4"/>
  <c r="AM24" i="4"/>
  <c r="BL19" i="4"/>
  <c r="CE25" i="4"/>
  <c r="S25" i="4"/>
  <c r="BN23" i="4"/>
  <c r="BL17" i="4"/>
  <c r="BN25" i="4"/>
  <c r="BR24" i="4"/>
  <c r="T23" i="4"/>
  <c r="BE25" i="4"/>
  <c r="AR18" i="4"/>
  <c r="AN23" i="4"/>
  <c r="AF25" i="4"/>
  <c r="AE24" i="4"/>
  <c r="AF19" i="4"/>
  <c r="BS23" i="4"/>
  <c r="BW22" i="4"/>
  <c r="CA21" i="4"/>
  <c r="CE20" i="4"/>
  <c r="S20" i="4"/>
  <c r="W19" i="4"/>
  <c r="AA18" i="4"/>
  <c r="AE17" i="4"/>
  <c r="AI16" i="4"/>
  <c r="BJ23" i="4"/>
  <c r="BN22" i="4"/>
  <c r="BR21" i="4"/>
  <c r="BV20" i="4"/>
  <c r="BZ19" i="4"/>
  <c r="CD18" i="4"/>
  <c r="R18" i="4"/>
  <c r="V17" i="4"/>
  <c r="Z16" i="4"/>
  <c r="BI23" i="4"/>
  <c r="BM22" i="4"/>
  <c r="BQ21" i="4"/>
  <c r="BU20" i="4"/>
  <c r="BY19" i="4"/>
  <c r="CC18" i="4"/>
  <c r="CG17" i="4"/>
  <c r="U17" i="4"/>
  <c r="Y16" i="4"/>
  <c r="X22" i="4"/>
  <c r="BL20" i="4"/>
  <c r="AR19" i="4"/>
  <c r="BH17" i="4"/>
  <c r="BW23" i="4"/>
  <c r="BO21" i="4"/>
  <c r="S19" i="4"/>
  <c r="AM16" i="4"/>
  <c r="Z21" i="4"/>
  <c r="AT18" i="4"/>
  <c r="U24" i="4"/>
  <c r="CC21" i="4"/>
  <c r="AG19" i="4"/>
  <c r="BA16" i="4"/>
  <c r="BW24" i="4"/>
  <c r="AJ16" i="4"/>
  <c r="BK25" i="4"/>
  <c r="BO24" i="4"/>
  <c r="BX22" i="4"/>
  <c r="BU25" i="4"/>
  <c r="AT25" i="4"/>
  <c r="AX24" i="4"/>
  <c r="BX20" i="4"/>
  <c r="CC24" i="4"/>
  <c r="CF16" i="4"/>
  <c r="BL21" i="4"/>
  <c r="AB25" i="4"/>
  <c r="V24" i="4"/>
  <c r="BP18" i="4"/>
  <c r="BW25" i="4"/>
  <c r="CA24" i="4"/>
  <c r="AR23" i="4"/>
  <c r="BP16" i="4"/>
  <c r="BF25" i="4"/>
  <c r="BJ24" i="4"/>
  <c r="AJ22" i="4"/>
  <c r="CG24" i="4"/>
  <c r="AV17" i="4"/>
  <c r="AF21" i="4"/>
  <c r="X25" i="4"/>
  <c r="CB23" i="4"/>
  <c r="AJ18" i="4"/>
  <c r="BK23" i="4"/>
  <c r="BO22" i="4"/>
  <c r="BS21" i="4"/>
  <c r="BW20" i="4"/>
  <c r="CA19" i="4"/>
  <c r="CE18" i="4"/>
  <c r="S18" i="4"/>
  <c r="W17" i="4"/>
  <c r="AA16" i="4"/>
  <c r="BB23" i="4"/>
  <c r="BF22" i="4"/>
  <c r="BJ21" i="4"/>
  <c r="BN20" i="4"/>
  <c r="BR19" i="4"/>
  <c r="BV18" i="4"/>
  <c r="BZ17" i="4"/>
  <c r="CD16" i="4"/>
  <c r="R16" i="4"/>
  <c r="BA23" i="4"/>
  <c r="BE22" i="4"/>
  <c r="BI21" i="4"/>
  <c r="BM20" i="4"/>
  <c r="BQ19" i="4"/>
  <c r="BU18" i="4"/>
  <c r="BY17" i="4"/>
  <c r="CC16" i="4"/>
  <c r="CB22" i="4"/>
  <c r="BP21" i="4"/>
  <c r="BD20" i="4"/>
  <c r="AJ19" i="4"/>
  <c r="AZ17" i="4"/>
  <c r="BO23" i="4"/>
  <c r="S21" i="4"/>
  <c r="CA18" i="4"/>
  <c r="AE16" i="4"/>
  <c r="AT20" i="4"/>
  <c r="AL18" i="4"/>
  <c r="CC23" i="4"/>
  <c r="AG21" i="4"/>
  <c r="Y19" i="4"/>
  <c r="AS16" i="4"/>
  <c r="BC25" i="4"/>
  <c r="BG24" i="4"/>
  <c r="CB21" i="4"/>
  <c r="AO25" i="4"/>
  <c r="AL25" i="4"/>
  <c r="AP24" i="4"/>
  <c r="CB19" i="4"/>
  <c r="AW24" i="4"/>
  <c r="T16" i="4"/>
  <c r="CF25" i="4"/>
  <c r="T25" i="4"/>
  <c r="BP23" i="4"/>
  <c r="BT17" i="4"/>
  <c r="BO25" i="4"/>
  <c r="BS24" i="4"/>
  <c r="X23" i="4"/>
  <c r="BQ25" i="4"/>
  <c r="AX25" i="4"/>
  <c r="BB24" i="4"/>
  <c r="AN21" i="4"/>
  <c r="BA24" i="4"/>
  <c r="AZ16" i="4"/>
  <c r="CB25" i="4"/>
  <c r="CF24" i="4"/>
  <c r="BF23" i="4"/>
  <c r="AN17" i="4"/>
  <c r="BC23" i="4"/>
  <c r="BG22" i="4"/>
  <c r="BK21" i="4"/>
  <c r="BO20" i="4"/>
  <c r="BS19" i="4"/>
  <c r="BW18" i="4"/>
  <c r="CA17" i="4"/>
  <c r="CE16" i="4"/>
  <c r="S16" i="4"/>
  <c r="AT23" i="4"/>
  <c r="AX22" i="4"/>
  <c r="BB21" i="4"/>
  <c r="BF20" i="4"/>
  <c r="BJ19" i="4"/>
  <c r="BN18" i="4"/>
  <c r="BR17" i="4"/>
  <c r="BV16" i="4"/>
  <c r="AO24" i="4"/>
  <c r="AS23" i="4"/>
  <c r="AW22" i="4"/>
  <c r="BA21" i="4"/>
  <c r="BE20" i="4"/>
  <c r="BI19" i="4"/>
  <c r="BM18" i="4"/>
  <c r="BQ17" i="4"/>
  <c r="BU16" i="4"/>
  <c r="BT22" i="4"/>
  <c r="BH21" i="4"/>
  <c r="AV20" i="4"/>
  <c r="BT18" i="4"/>
  <c r="AR17" i="4"/>
  <c r="BG23" i="4"/>
  <c r="CA20" i="4"/>
  <c r="AE18" i="4"/>
  <c r="W16" i="4"/>
  <c r="AL20" i="4"/>
  <c r="BF17" i="4"/>
  <c r="BU23" i="4"/>
  <c r="Y21" i="4"/>
  <c r="AS18" i="4"/>
  <c r="AK16" i="4"/>
  <c r="BM25" i="4"/>
  <c r="AU25" i="4"/>
  <c r="AY24" i="4"/>
  <c r="CF20" i="4"/>
  <c r="BY24" i="4"/>
  <c r="AD25" i="4"/>
  <c r="AB24" i="4"/>
  <c r="CF18" i="4"/>
  <c r="AX23" i="4"/>
  <c r="BY25" i="4"/>
  <c r="BX25" i="4"/>
  <c r="CB24" i="4"/>
  <c r="AV23" i="4"/>
  <c r="BX16" i="4"/>
  <c r="BG25" i="4"/>
  <c r="BK24" i="4"/>
  <c r="AR22" i="4"/>
  <c r="AK25" i="4"/>
  <c r="AP25" i="4"/>
  <c r="AT24" i="4"/>
  <c r="AR20" i="4"/>
  <c r="BH23" i="4"/>
  <c r="CC25" i="4"/>
  <c r="BT25" i="4"/>
  <c r="BX24" i="4"/>
  <c r="AJ23" i="4"/>
  <c r="AR16" i="4"/>
  <c r="AU23" i="4"/>
  <c r="AY22" i="4"/>
  <c r="BC21" i="4"/>
  <c r="BG20" i="4"/>
  <c r="BK19" i="4"/>
  <c r="BO18" i="4"/>
  <c r="BS17" i="4"/>
  <c r="BW16" i="4"/>
  <c r="AH24" i="4"/>
  <c r="AL23" i="4"/>
  <c r="AP22" i="4"/>
  <c r="AT21" i="4"/>
  <c r="AX20" i="4"/>
  <c r="BB19" i="4"/>
  <c r="BF18" i="4"/>
  <c r="BJ17" i="4"/>
  <c r="BN16" i="4"/>
  <c r="AG24" i="4"/>
  <c r="AK23" i="4"/>
  <c r="AO22" i="4"/>
  <c r="AS21" i="4"/>
  <c r="AW20" i="4"/>
  <c r="BA19" i="4"/>
  <c r="BE18" i="4"/>
  <c r="BI17" i="4"/>
  <c r="BM16" i="4"/>
  <c r="BL22" i="4"/>
  <c r="AZ21" i="4"/>
  <c r="AN20" i="4"/>
  <c r="BL18" i="4"/>
  <c r="BT16" i="4"/>
  <c r="CA22" i="4"/>
  <c r="BS20" i="4"/>
  <c r="W18" i="4"/>
  <c r="AL22" i="4"/>
  <c r="AD20" i="4"/>
  <c r="AX17" i="4"/>
  <c r="Y23" i="4"/>
  <c r="CG20" i="4"/>
  <c r="AK18" i="4"/>
  <c r="AM25" i="4"/>
  <c r="AQ24" i="4"/>
  <c r="T20" i="4"/>
  <c r="AS24" i="4"/>
  <c r="V25" i="4"/>
  <c r="BV23" i="4"/>
  <c r="T18" i="4"/>
  <c r="BH22" i="4"/>
  <c r="AS25" i="4"/>
  <c r="BP25" i="4"/>
  <c r="BT24" i="4"/>
  <c r="Z23" i="4"/>
  <c r="BI25" i="4"/>
  <c r="AY25" i="4"/>
  <c r="BC24" i="4"/>
  <c r="AV21" i="4"/>
  <c r="BU24" i="4"/>
  <c r="AH25" i="4"/>
  <c r="AJ24" i="4"/>
  <c r="AV19" i="4"/>
  <c r="R23" i="4"/>
  <c r="AW25" i="4"/>
  <c r="BL25" i="4"/>
  <c r="BP24" i="4"/>
  <c r="CF22" i="4"/>
  <c r="AI24" i="4"/>
  <c r="AM23" i="4"/>
  <c r="AQ22" i="4"/>
  <c r="AU21" i="4"/>
  <c r="AY20" i="4"/>
  <c r="BC19" i="4"/>
  <c r="BG18" i="4"/>
  <c r="BK17" i="4"/>
  <c r="BO16" i="4"/>
  <c r="Z24" i="4"/>
  <c r="AD23" i="4"/>
  <c r="AH22" i="4"/>
  <c r="AL21" i="4"/>
  <c r="AP20" i="4"/>
  <c r="AT19" i="4"/>
  <c r="AX18" i="4"/>
  <c r="BB17" i="4"/>
  <c r="BF16" i="4"/>
  <c r="Y24" i="4"/>
  <c r="AC23" i="4"/>
  <c r="AG22" i="4"/>
  <c r="AK21" i="4"/>
  <c r="AO20" i="4"/>
  <c r="AS19" i="4"/>
  <c r="AW18" i="4"/>
  <c r="BA17" i="4"/>
  <c r="BE16" i="4"/>
  <c r="BD22" i="4"/>
  <c r="AR21" i="4"/>
  <c r="AF20" i="4"/>
  <c r="BD18" i="4"/>
  <c r="BL16" i="4"/>
  <c r="BS22" i="4"/>
  <c r="W20" i="4"/>
  <c r="CE17" i="4"/>
  <c r="AD22" i="4"/>
  <c r="AX19" i="4"/>
  <c r="AP17" i="4"/>
  <c r="CG22" i="4"/>
  <c r="AK20" i="4"/>
  <c r="AC18" i="4"/>
  <c r="BQ24" i="4"/>
  <c r="AE25" i="4"/>
  <c r="AD24" i="4"/>
  <c r="X19" i="4"/>
  <c r="BZ25" i="4"/>
  <c r="CD24" i="4"/>
  <c r="AZ23" i="4"/>
  <c r="X17" i="4"/>
  <c r="BP20" i="4"/>
  <c r="U25" i="4"/>
  <c r="BH25" i="4"/>
  <c r="BL24" i="4"/>
  <c r="AZ22" i="4"/>
  <c r="AC25" i="4"/>
  <c r="AQ25" i="4"/>
  <c r="AU24" i="4"/>
  <c r="AZ20" i="4"/>
  <c r="AN24" i="4"/>
  <c r="Z25" i="4"/>
  <c r="CF23" i="4"/>
  <c r="AZ18" i="4"/>
  <c r="AB22" i="4"/>
  <c r="Y25" i="4"/>
  <c r="BD25" i="4"/>
  <c r="BH24" i="4"/>
  <c r="T22" i="4"/>
  <c r="AA24" i="4"/>
  <c r="AE23" i="4"/>
  <c r="AI22" i="4"/>
  <c r="AM21" i="4"/>
  <c r="AQ20" i="4"/>
  <c r="AU19" i="4"/>
  <c r="AY18" i="4"/>
  <c r="BC17" i="4"/>
  <c r="BG16" i="4"/>
  <c r="R24" i="4"/>
  <c r="V23" i="4"/>
  <c r="Z22" i="4"/>
  <c r="AD21" i="4"/>
  <c r="AH20" i="4"/>
  <c r="AL19" i="4"/>
  <c r="AP18" i="4"/>
  <c r="AT17" i="4"/>
  <c r="AX16" i="4"/>
  <c r="CG23" i="4"/>
  <c r="U23" i="4"/>
  <c r="Y22" i="4"/>
  <c r="AC21" i="4"/>
  <c r="AG20" i="4"/>
  <c r="AK19" i="4"/>
  <c r="AO18" i="4"/>
  <c r="AS17" i="4"/>
  <c r="AW16" i="4"/>
  <c r="AV22" i="4"/>
  <c r="AJ21" i="4"/>
  <c r="BP19" i="4"/>
  <c r="AV18" i="4"/>
  <c r="BD16" i="4"/>
  <c r="BK22" i="4"/>
  <c r="CE19" i="4"/>
  <c r="AI17" i="4"/>
  <c r="V22" i="4"/>
  <c r="AP19" i="4"/>
  <c r="BJ16" i="4"/>
  <c r="BY22" i="4"/>
  <c r="AC20" i="4"/>
  <c r="CF21" i="4"/>
  <c r="T21" i="4"/>
  <c r="X20" i="4"/>
  <c r="AB19" i="4"/>
  <c r="AF18" i="4"/>
  <c r="AJ17" i="4"/>
  <c r="AN16" i="4"/>
  <c r="AY23" i="4"/>
  <c r="BC22" i="4"/>
  <c r="BG21" i="4"/>
  <c r="BK20" i="4"/>
  <c r="BO19" i="4"/>
  <c r="BS18" i="4"/>
  <c r="BW17" i="4"/>
  <c r="CA16" i="4"/>
  <c r="BZ22" i="4"/>
  <c r="CD21" i="4"/>
  <c r="R21" i="4"/>
  <c r="V20" i="4"/>
  <c r="Z19" i="4"/>
  <c r="AD18" i="4"/>
  <c r="AH17" i="4"/>
  <c r="AL16" i="4"/>
  <c r="BM23" i="4"/>
  <c r="BQ22" i="4"/>
  <c r="BU21" i="4"/>
  <c r="BY20" i="4"/>
  <c r="CC19" i="4"/>
  <c r="CG18" i="4"/>
  <c r="U18" i="4"/>
  <c r="Y17" i="4"/>
  <c r="AC16" i="4"/>
  <c r="BX21" i="4"/>
  <c r="CB20" i="4"/>
  <c r="CF19" i="4"/>
  <c r="T19" i="4"/>
  <c r="X18" i="4"/>
  <c r="AB17" i="4"/>
  <c r="AF16" i="4"/>
  <c r="AQ23" i="4"/>
  <c r="AU22" i="4"/>
  <c r="AY21" i="4"/>
  <c r="BC20" i="4"/>
  <c r="BG19" i="4"/>
  <c r="BK18" i="4"/>
  <c r="BO17" i="4"/>
  <c r="BS16" i="4"/>
  <c r="BR22" i="4"/>
  <c r="BV21" i="4"/>
  <c r="BZ20" i="4"/>
  <c r="CD19" i="4"/>
  <c r="R19" i="4"/>
  <c r="V18" i="4"/>
  <c r="Z17" i="4"/>
  <c r="AD16" i="4"/>
  <c r="BE23" i="4"/>
  <c r="BI22" i="4"/>
  <c r="BM21" i="4"/>
  <c r="BQ20" i="4"/>
  <c r="BU19" i="4"/>
  <c r="BY18" i="4"/>
  <c r="CC17" i="4"/>
  <c r="CG16" i="4"/>
  <c r="U16" i="4"/>
  <c r="BX19" i="4"/>
  <c r="CB18" i="4"/>
  <c r="CF17" i="4"/>
  <c r="T17" i="4"/>
  <c r="X16" i="4"/>
  <c r="AI23" i="4"/>
  <c r="AM22" i="4"/>
  <c r="AQ21" i="4"/>
  <c r="AU20" i="4"/>
  <c r="AY19" i="4"/>
  <c r="BC18" i="4"/>
  <c r="BG17" i="4"/>
  <c r="BK16" i="4"/>
  <c r="BJ22" i="4"/>
  <c r="BN21" i="4"/>
  <c r="BR20" i="4"/>
  <c r="BV19" i="4"/>
  <c r="BZ18" i="4"/>
  <c r="CD17" i="4"/>
  <c r="R17" i="4"/>
  <c r="V16" i="4"/>
  <c r="AW23" i="4"/>
  <c r="BA22" i="4"/>
  <c r="BE21" i="4"/>
  <c r="BI20" i="4"/>
  <c r="BM19" i="4"/>
  <c r="BQ18" i="4"/>
  <c r="BU17" i="4"/>
  <c r="BY16" i="4"/>
  <c r="BX17" i="4"/>
  <c r="CB16" i="4"/>
  <c r="W24" i="4"/>
  <c r="AA23" i="4"/>
  <c r="AE22" i="4"/>
  <c r="AI21" i="4"/>
  <c r="AM20" i="4"/>
  <c r="AQ19" i="4"/>
  <c r="AU18" i="4"/>
  <c r="AY17" i="4"/>
  <c r="BC16" i="4"/>
  <c r="BB22" i="4"/>
  <c r="BF21" i="4"/>
  <c r="BJ20" i="4"/>
  <c r="BN19" i="4"/>
  <c r="BR18" i="4"/>
  <c r="BV17" i="4"/>
  <c r="BZ16" i="4"/>
  <c r="AK24" i="4"/>
  <c r="AO23" i="4"/>
  <c r="AS22" i="4"/>
  <c r="AW21" i="4"/>
  <c r="BA20" i="4"/>
  <c r="BE19" i="4"/>
  <c r="BI18" i="4"/>
  <c r="BM17" i="4"/>
  <c r="BQ16" i="4"/>
  <c r="W22" i="4"/>
  <c r="AA21" i="4"/>
  <c r="AE20" i="4"/>
  <c r="AI19" i="4"/>
  <c r="AM18" i="4"/>
  <c r="AQ17" i="4"/>
  <c r="AU16" i="4"/>
  <c r="AT22" i="4"/>
  <c r="AX21" i="4"/>
  <c r="BB20" i="4"/>
  <c r="BF19" i="4"/>
  <c r="BJ18" i="4"/>
  <c r="BN17" i="4"/>
  <c r="BR16" i="4"/>
  <c r="AC24" i="4"/>
  <c r="AG23" i="4"/>
  <c r="AK22" i="4"/>
  <c r="AO21" i="4"/>
  <c r="AS20" i="4"/>
  <c r="AW19" i="4"/>
  <c r="BA18" i="4"/>
  <c r="BE17" i="4"/>
  <c r="CH103" i="4"/>
  <c r="B35" i="4" a="1"/>
  <c r="B35" i="4" s="1"/>
  <c r="CH39" i="4"/>
  <c r="CH133" i="4"/>
  <c r="CH108" i="4"/>
  <c r="CH128" i="4"/>
  <c r="CH119" i="4"/>
  <c r="CH140" i="4"/>
  <c r="CH100" i="4"/>
  <c r="CH62" i="4"/>
  <c r="CH73" i="4"/>
  <c r="CH74" i="4"/>
  <c r="CH77" i="4"/>
  <c r="CH40" i="4"/>
  <c r="CH98" i="4"/>
  <c r="CH82" i="4"/>
  <c r="CH69" i="4"/>
  <c r="CH67" i="4"/>
  <c r="CH86" i="4"/>
  <c r="CH35" i="4"/>
  <c r="CH107" i="4"/>
  <c r="CH131" i="4"/>
  <c r="CH114" i="4"/>
  <c r="CH45" i="4"/>
  <c r="CH134" i="4"/>
  <c r="CH37" i="4"/>
  <c r="CH118" i="4"/>
  <c r="CH75" i="4"/>
  <c r="CH94" i="4"/>
  <c r="CH55" i="4"/>
  <c r="CH85" i="4"/>
  <c r="CH42" i="4"/>
  <c r="CH113" i="4"/>
  <c r="CH56" i="4"/>
  <c r="CH115" i="4"/>
  <c r="CH97" i="4"/>
  <c r="CH84" i="4"/>
  <c r="CH110" i="4"/>
  <c r="CH112" i="4"/>
  <c r="CH61" i="4"/>
  <c r="CH48" i="4"/>
  <c r="CH47" i="4"/>
  <c r="Z29" i="4"/>
  <c r="T29" i="4"/>
  <c r="X29" i="4"/>
  <c r="R29" i="4"/>
  <c r="Y29" i="4"/>
  <c r="V29" i="4"/>
  <c r="AA29" i="4"/>
  <c r="W29" i="4"/>
  <c r="S29" i="4"/>
  <c r="U29" i="4"/>
  <c r="CH102" i="4"/>
  <c r="CH63" i="4"/>
  <c r="CH135" i="4"/>
  <c r="CH138" i="4"/>
  <c r="CH141" i="4"/>
  <c r="CH41" i="4"/>
  <c r="CH52" i="4"/>
  <c r="CH57" i="4"/>
  <c r="CH72" i="4"/>
  <c r="CH132" i="4"/>
  <c r="CH90" i="4"/>
  <c r="CH137" i="4"/>
  <c r="CH130" i="4"/>
  <c r="CH68" i="4"/>
  <c r="CH109" i="4"/>
  <c r="CH38" i="4"/>
  <c r="CH127" i="4"/>
  <c r="CH49" i="4"/>
  <c r="CH116" i="4"/>
  <c r="CH58" i="4"/>
  <c r="CH126" i="4"/>
  <c r="CH95" i="4"/>
  <c r="CH143" i="4"/>
  <c r="CH36" i="4"/>
  <c r="CH125" i="4"/>
  <c r="CH46" i="4"/>
  <c r="CH92" i="4"/>
  <c r="CH91" i="4"/>
  <c r="CH81" i="4"/>
  <c r="CH101" i="4"/>
  <c r="CH80" i="4"/>
  <c r="CH43" i="4"/>
  <c r="CH121" i="4"/>
  <c r="CH96" i="4"/>
  <c r="CH88" i="4"/>
  <c r="CH53" i="4"/>
  <c r="CH64" i="4"/>
  <c r="CH93" i="4"/>
  <c r="CH83" i="4"/>
  <c r="CH51" i="4"/>
  <c r="CH89" i="4"/>
  <c r="CH111" i="4"/>
  <c r="CH78" i="4"/>
  <c r="CH50" i="4"/>
  <c r="CH66" i="4"/>
  <c r="CH139" i="4"/>
  <c r="CH120" i="4"/>
  <c r="CH87" i="4"/>
  <c r="CH71" i="4"/>
  <c r="CH105" i="4"/>
  <c r="CH117" i="4"/>
  <c r="CH124" i="4"/>
  <c r="CH70" i="4"/>
  <c r="CH106" i="4"/>
  <c r="CH99" i="4"/>
  <c r="CH60" i="4"/>
  <c r="CH136" i="4"/>
  <c r="CH76" i="4"/>
  <c r="CH59" i="4"/>
  <c r="CH65" i="4"/>
  <c r="AB29" i="4" l="1"/>
</calcChain>
</file>

<file path=xl/sharedStrings.xml><?xml version="1.0" encoding="utf-8"?>
<sst xmlns="http://schemas.openxmlformats.org/spreadsheetml/2006/main" count="369" uniqueCount="222">
  <si>
    <t>Tullibardine</t>
  </si>
  <si>
    <t>Tormore</t>
  </si>
  <si>
    <t>Tomintoul</t>
  </si>
  <si>
    <t>Tomatin</t>
  </si>
  <si>
    <t>Tobermory</t>
  </si>
  <si>
    <t>Teaninich</t>
  </si>
  <si>
    <t>Tamnavulin</t>
  </si>
  <si>
    <t>Tamdhu</t>
  </si>
  <si>
    <t>Talisker</t>
  </si>
  <si>
    <t>Strathisla</t>
  </si>
  <si>
    <t>Springbank Longrow</t>
  </si>
  <si>
    <t>Springbank</t>
  </si>
  <si>
    <t>Speyburn</t>
  </si>
  <si>
    <t>Singleton</t>
  </si>
  <si>
    <t>Scapa</t>
  </si>
  <si>
    <t>Saint Magdalene</t>
  </si>
  <si>
    <t>Rosebank</t>
  </si>
  <si>
    <t>Pulteney</t>
  </si>
  <si>
    <t>Port Ellen</t>
  </si>
  <si>
    <t>Oban</t>
  </si>
  <si>
    <t>North Port</t>
  </si>
  <si>
    <t>Mortlach</t>
  </si>
  <si>
    <t>Miltonduff</t>
  </si>
  <si>
    <t>Millburn</t>
  </si>
  <si>
    <t>Macallan</t>
  </si>
  <si>
    <t>Longmorn</t>
  </si>
  <si>
    <t>Lochside</t>
  </si>
  <si>
    <t>Lochnagar</t>
  </si>
  <si>
    <t>Littlemill</t>
  </si>
  <si>
    <t>Linkwood</t>
  </si>
  <si>
    <t>Laphroaig</t>
  </si>
  <si>
    <t>Lagavulin</t>
  </si>
  <si>
    <t>Ladyburn</t>
  </si>
  <si>
    <t>Knockdhu</t>
  </si>
  <si>
    <t>Knockando</t>
  </si>
  <si>
    <t>Kinclaith</t>
  </si>
  <si>
    <t>Jura</t>
  </si>
  <si>
    <t>Inverleven</t>
  </si>
  <si>
    <t>Inchmurrin</t>
  </si>
  <si>
    <t>Inchgower</t>
  </si>
  <si>
    <t>Imperial</t>
  </si>
  <si>
    <t>Highland Park</t>
  </si>
  <si>
    <t>Glenury Royal</t>
  </si>
  <si>
    <t>Glenugie</t>
  </si>
  <si>
    <t>Glenturret</t>
  </si>
  <si>
    <t>Glentauchers</t>
  </si>
  <si>
    <t>Glenrothes</t>
  </si>
  <si>
    <t>Glenmorangie</t>
  </si>
  <si>
    <t>Glenlossie</t>
  </si>
  <si>
    <t>Glenlochy</t>
  </si>
  <si>
    <t>Glenlivet</t>
  </si>
  <si>
    <t>Glenkinchie</t>
  </si>
  <si>
    <t>Glengoyne</t>
  </si>
  <si>
    <t>Glenglassaugh</t>
  </si>
  <si>
    <t>Glenfiddich</t>
  </si>
  <si>
    <t>Glenfarclas</t>
  </si>
  <si>
    <t>Glenesk</t>
  </si>
  <si>
    <t>Glendullan</t>
  </si>
  <si>
    <t>Glendronach</t>
  </si>
  <si>
    <t>Glencadam</t>
  </si>
  <si>
    <t>Glenburgie</t>
  </si>
  <si>
    <t>Glenallachie</t>
  </si>
  <si>
    <t>Glen Spey</t>
  </si>
  <si>
    <t>Glen Scotia</t>
  </si>
  <si>
    <t>Glen Ordie</t>
  </si>
  <si>
    <t>Glen Moray</t>
  </si>
  <si>
    <t>Glen Mhor</t>
  </si>
  <si>
    <t>Glen Keith</t>
  </si>
  <si>
    <t>Glen Grant</t>
  </si>
  <si>
    <t>Glen Garioch</t>
  </si>
  <si>
    <t>Glen Elgin</t>
  </si>
  <si>
    <t>Glen Deveron</t>
  </si>
  <si>
    <t>Glen  Albyn</t>
  </si>
  <si>
    <t>Fettercairn</t>
  </si>
  <si>
    <t>Edradour</t>
  </si>
  <si>
    <t>Dufftown</t>
  </si>
  <si>
    <t>Deanston</t>
  </si>
  <si>
    <t>Dalwhinnie</t>
  </si>
  <si>
    <t>Dalmore</t>
  </si>
  <si>
    <t>Dallas Dhu</t>
  </si>
  <si>
    <t>Dailuaine</t>
  </si>
  <si>
    <t>Craigellachie</t>
  </si>
  <si>
    <t>Cragganmore</t>
  </si>
  <si>
    <t>Convalmore</t>
  </si>
  <si>
    <t>Coleburn</t>
  </si>
  <si>
    <t>Clynelish</t>
  </si>
  <si>
    <t>Cardhu</t>
  </si>
  <si>
    <t>Caperdonich</t>
  </si>
  <si>
    <t>Caol Ila</t>
  </si>
  <si>
    <t>Bunnahabhain</t>
  </si>
  <si>
    <t>Bruichladdich</t>
  </si>
  <si>
    <t>Brackla</t>
  </si>
  <si>
    <t>Bowmore</t>
  </si>
  <si>
    <t>Blair Athol</t>
  </si>
  <si>
    <t>Bladnoch</t>
  </si>
  <si>
    <t>Benromach</t>
  </si>
  <si>
    <t>Benrinnes</t>
  </si>
  <si>
    <t>Benriach</t>
  </si>
  <si>
    <t>Ben Nevis</t>
  </si>
  <si>
    <t>Banff</t>
  </si>
  <si>
    <t>Balvenie</t>
  </si>
  <si>
    <t>Balmenach</t>
  </si>
  <si>
    <t>Balblair</t>
  </si>
  <si>
    <t>Aultmore</t>
  </si>
  <si>
    <t>Auchentoshan</t>
  </si>
  <si>
    <t>Ardmore</t>
  </si>
  <si>
    <t>Ardberg</t>
  </si>
  <si>
    <t>Aberlour</t>
  </si>
  <si>
    <t>Aberfeldy</t>
  </si>
  <si>
    <t>finQuick</t>
  </si>
  <si>
    <t>finVery</t>
  </si>
  <si>
    <t>finLong</t>
  </si>
  <si>
    <t>finLing</t>
  </si>
  <si>
    <t>finArome</t>
  </si>
  <si>
    <t>finSalt</t>
  </si>
  <si>
    <t>finOil</t>
  </si>
  <si>
    <t>finSpice</t>
  </si>
  <si>
    <t>finSweet</t>
  </si>
  <si>
    <t>finSmoke</t>
  </si>
  <si>
    <t>finGrass</t>
  </si>
  <si>
    <t>finFruit</t>
  </si>
  <si>
    <t>finClean</t>
  </si>
  <si>
    <t>finSmooth</t>
  </si>
  <si>
    <t>finLight</t>
  </si>
  <si>
    <t>finBig</t>
  </si>
  <si>
    <t>finWarm</t>
  </si>
  <si>
    <t>finDry</t>
  </si>
  <si>
    <t>finFull</t>
  </si>
  <si>
    <t>palArome</t>
  </si>
  <si>
    <t>palSalt</t>
  </si>
  <si>
    <t>palOil</t>
  </si>
  <si>
    <t>palSpice</t>
  </si>
  <si>
    <t>palSweet</t>
  </si>
  <si>
    <t>palSmoke</t>
  </si>
  <si>
    <t>palGrass</t>
  </si>
  <si>
    <t>palFruit</t>
  </si>
  <si>
    <t>palClean</t>
  </si>
  <si>
    <t>palSmooth</t>
  </si>
  <si>
    <t>palLight</t>
  </si>
  <si>
    <t>palBig</t>
  </si>
  <si>
    <t>palSherry</t>
  </si>
  <si>
    <t>palDry</t>
  </si>
  <si>
    <t>palFull</t>
  </si>
  <si>
    <t>bodyOily</t>
  </si>
  <si>
    <t>bodyFirm</t>
  </si>
  <si>
    <t>bodyLight</t>
  </si>
  <si>
    <t>bodySmooth</t>
  </si>
  <si>
    <t>bodyRound</t>
  </si>
  <si>
    <t>bodyFull</t>
  </si>
  <si>
    <t>bodyMed</t>
  </si>
  <si>
    <t>bodySoft</t>
  </si>
  <si>
    <t>noseRICH</t>
  </si>
  <si>
    <t>noseSPICY</t>
  </si>
  <si>
    <t>noseSHERRY</t>
  </si>
  <si>
    <t>noseSEA</t>
  </si>
  <si>
    <t>noseGRASS</t>
  </si>
  <si>
    <t>noseFRUIT</t>
  </si>
  <si>
    <t>noseDRY</t>
  </si>
  <si>
    <t>noseFRESH</t>
  </si>
  <si>
    <t>noseLIGHT</t>
  </si>
  <si>
    <t>noseSWEET</t>
  </si>
  <si>
    <t>nosePEAT</t>
  </si>
  <si>
    <t>noseAROMA</t>
  </si>
  <si>
    <t>colorSherry</t>
  </si>
  <si>
    <t>colorRed</t>
  </si>
  <si>
    <t>colorFamber</t>
  </si>
  <si>
    <t>colorAmber</t>
  </si>
  <si>
    <t>colorPamber</t>
  </si>
  <si>
    <t>colorBronze</t>
  </si>
  <si>
    <t>colorFgold</t>
  </si>
  <si>
    <t>colorOgold</t>
  </si>
  <si>
    <t>colorGold</t>
  </si>
  <si>
    <t>colorPgold</t>
  </si>
  <si>
    <t>colorPale</t>
  </si>
  <si>
    <t>colorVpale</t>
  </si>
  <si>
    <t>colorYellow</t>
  </si>
  <si>
    <t>colorWyne</t>
  </si>
  <si>
    <t>NAME</t>
  </si>
  <si>
    <t>From 3</t>
  </si>
  <si>
    <t>From 2</t>
  </si>
  <si>
    <t>From 1</t>
  </si>
  <si>
    <t>Cluster</t>
  </si>
  <si>
    <t>Prev</t>
  </si>
  <si>
    <t>TimeToStop</t>
  </si>
  <si>
    <t>Centroid 3</t>
  </si>
  <si>
    <t>Centroid 2</t>
  </si>
  <si>
    <t>Centroid 1</t>
  </si>
  <si>
    <t>Factors</t>
  </si>
  <si>
    <t>Summary</t>
  </si>
  <si>
    <t>Distance From This Row to Centroids</t>
  </si>
  <si>
    <t>From 4</t>
  </si>
  <si>
    <t>From 5</t>
  </si>
  <si>
    <t>From 6</t>
  </si>
  <si>
    <t>From 7</t>
  </si>
  <si>
    <t>From 8</t>
  </si>
  <si>
    <t>From 9</t>
  </si>
  <si>
    <t>From 10</t>
  </si>
  <si>
    <t>Centroid 4</t>
  </si>
  <si>
    <t>Centroid 5</t>
  </si>
  <si>
    <t>Centroid 6</t>
  </si>
  <si>
    <t>Centroid 7</t>
  </si>
  <si>
    <t>Centroid 8</t>
  </si>
  <si>
    <t>Centroid 9</t>
  </si>
  <si>
    <t>Centroid 10</t>
  </si>
  <si>
    <t>Custer 1</t>
  </si>
  <si>
    <t>Custer 2</t>
  </si>
  <si>
    <t>Custer 3</t>
  </si>
  <si>
    <t>Custer 4</t>
  </si>
  <si>
    <t>Custer 5</t>
  </si>
  <si>
    <t>Custer 6</t>
  </si>
  <si>
    <t>Custer 7</t>
  </si>
  <si>
    <t>Custer 8</t>
  </si>
  <si>
    <t>Custer 9</t>
  </si>
  <si>
    <t>Custer 10</t>
  </si>
  <si>
    <t xml:space="preserve">Cluster Members: </t>
  </si>
  <si>
    <t>Clusters</t>
  </si>
  <si>
    <t>Seed</t>
  </si>
  <si>
    <t xml:space="preserve">A Positive integer </t>
  </si>
  <si>
    <t>or the word None</t>
  </si>
  <si>
    <t>Total</t>
  </si>
  <si>
    <t>None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</si>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</sst>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/>
    <xf numFmtId="0" fontId="1" fillId="0" borderId="0" xfId="0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/>
    <xf numFmtId="0" fontId="0" fillId="3" borderId="6" xfId="0" applyFill="1" applyBorder="1" applyAlignment="1">
      <alignment horizontal="center"/>
    </xf>
    <xf numFmtId="0" fontId="3" fillId="2" borderId="5" xfId="0" applyFont="1" applyFill="1" applyBorder="1" applyAlignment="1">
      <alignment horizontal="right"/>
    </xf>
    <xf numFmtId="0" fontId="3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12">
    <dxf>
      <font>
        <color rgb="FF002060"/>
      </font>
      <fill>
        <patternFill>
          <bgColor rgb="FFFFFF00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66FF33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colors>
    <mruColors>
      <color rgb="FF99FF33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</xdr:row>
      <xdr:rowOff>95249</xdr:rowOff>
    </xdr:from>
    <xdr:to>
      <xdr:col>13</xdr:col>
      <xdr:colOff>133351</xdr:colOff>
      <xdr:row>9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0525" y="278129"/>
          <a:ext cx="7667626" cy="1482091"/>
        </a:xfrm>
        <a:prstGeom prst="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400"/>
            <a:t>The purpose of this application is to perform cluster analysis on</a:t>
          </a:r>
          <a:r>
            <a:rPr lang="en-US" sz="1400" baseline="0"/>
            <a:t> single-malt scotch whiskies.</a:t>
          </a:r>
        </a:p>
        <a:p>
          <a:endParaRPr lang="en-US" sz="1400" baseline="0"/>
        </a:p>
        <a:p>
          <a:r>
            <a:rPr lang="en-US" sz="1400" baseline="0"/>
            <a:t>This preliminary model will create up to 10 clusters of 109 whiskies for which we have tasting notes using the k-means clustering algorithm.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</xdr:colOff>
          <xdr:row>11</xdr:row>
          <xdr:rowOff>45720</xdr:rowOff>
        </xdr:from>
        <xdr:to>
          <xdr:col>7</xdr:col>
          <xdr:colOff>563880</xdr:colOff>
          <xdr:row>13</xdr:row>
          <xdr:rowOff>30480</xdr:rowOff>
        </xdr:to>
        <xdr:sp macro="" textlink="">
          <xdr:nvSpPr>
            <xdr:cNvPr id="2049" name="btnGetStarte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29</xdr:row>
          <xdr:rowOff>38100</xdr:rowOff>
        </xdr:from>
        <xdr:to>
          <xdr:col>19</xdr:col>
          <xdr:colOff>152400</xdr:colOff>
          <xdr:row>31</xdr:row>
          <xdr:rowOff>152400</xdr:rowOff>
        </xdr:to>
        <xdr:sp macro="" textlink="">
          <xdr:nvSpPr>
            <xdr:cNvPr id="1025" name="btnBuildCluster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678180</xdr:colOff>
          <xdr:row>29</xdr:row>
          <xdr:rowOff>38100</xdr:rowOff>
        </xdr:from>
        <xdr:to>
          <xdr:col>25</xdr:col>
          <xdr:colOff>45720</xdr:colOff>
          <xdr:row>31</xdr:row>
          <xdr:rowOff>152400</xdr:rowOff>
        </xdr:to>
        <xdr:sp macro="" textlink="">
          <xdr:nvSpPr>
            <xdr:cNvPr id="1027" name="btnSort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556260</xdr:colOff>
          <xdr:row>29</xdr:row>
          <xdr:rowOff>38100</xdr:rowOff>
        </xdr:from>
        <xdr:to>
          <xdr:col>23</xdr:col>
          <xdr:colOff>670560</xdr:colOff>
          <xdr:row>31</xdr:row>
          <xdr:rowOff>152400</xdr:rowOff>
        </xdr:to>
        <xdr:sp macro="" textlink="">
          <xdr:nvSpPr>
            <xdr:cNvPr id="1028" name="btnSortClust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182880</xdr:colOff>
          <xdr:row>29</xdr:row>
          <xdr:rowOff>38100</xdr:rowOff>
        </xdr:from>
        <xdr:to>
          <xdr:col>20</xdr:col>
          <xdr:colOff>259080</xdr:colOff>
          <xdr:row>31</xdr:row>
          <xdr:rowOff>152400</xdr:rowOff>
        </xdr:to>
        <xdr:sp macro="" textlink="">
          <xdr:nvSpPr>
            <xdr:cNvPr id="1029" name="btn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Explain"/>
  <dimension ref="A1"/>
  <sheetViews>
    <sheetView showGridLines="0" showRowColHeaders="0" workbookViewId="0">
      <selection activeCell="L23" sqref="L23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GetStarted">
          <controlPr defaultSize="0" autoLine="0" r:id="rId4">
            <anchor moveWithCells="1">
              <from>
                <xdr:col>5</xdr:col>
                <xdr:colOff>281940</xdr:colOff>
                <xdr:row>11</xdr:row>
                <xdr:rowOff>45720</xdr:rowOff>
              </from>
              <to>
                <xdr:col>7</xdr:col>
                <xdr:colOff>563880</xdr:colOff>
                <xdr:row>13</xdr:row>
                <xdr:rowOff>30480</xdr:rowOff>
              </to>
            </anchor>
          </controlPr>
        </control>
      </mc:Choice>
      <mc:Fallback>
        <control shapeId="2049" r:id="rId3" name="btnGetStart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ClusterAnalysis"/>
  <dimension ref="B1:CH143"/>
  <sheetViews>
    <sheetView showGridLines="0" tabSelected="1" topLeftCell="A27" zoomScaleNormal="100" workbookViewId="0">
      <selection activeCell="V31" sqref="V31"/>
    </sheetView>
  </sheetViews>
  <sheetFormatPr defaultRowHeight="14.4" x14ac:dyDescent="0.3"/>
  <cols>
    <col min="1" max="1" width="2.5546875" customWidth="1"/>
    <col min="2" max="2" width="11.5546875" customWidth="1"/>
    <col min="3" max="3" width="2.5546875" customWidth="1"/>
    <col min="4" max="5" width="9.109375" customWidth="1"/>
    <col min="6" max="6" width="15.109375" customWidth="1"/>
    <col min="7" max="14" width="14.6640625" customWidth="1"/>
    <col min="15" max="15" width="14" customWidth="1"/>
    <col min="16" max="16" width="3" customWidth="1"/>
    <col min="17" max="17" width="19.109375" bestFit="1" customWidth="1"/>
    <col min="18" max="85" width="11.109375" customWidth="1"/>
    <col min="86" max="86" width="9.109375" customWidth="1"/>
  </cols>
  <sheetData>
    <row r="1" spans="6:85" hidden="1" x14ac:dyDescent="0.3">
      <c r="R1" s="1">
        <v>1</v>
      </c>
      <c r="S1" s="1">
        <v>2</v>
      </c>
      <c r="T1" s="1">
        <v>3</v>
      </c>
      <c r="U1" s="1">
        <v>4</v>
      </c>
      <c r="V1" s="1">
        <v>5</v>
      </c>
      <c r="W1" s="1">
        <v>6</v>
      </c>
      <c r="X1" s="1">
        <v>7</v>
      </c>
      <c r="Y1" s="1">
        <v>8</v>
      </c>
      <c r="Z1" s="1">
        <v>9</v>
      </c>
      <c r="AA1" s="1">
        <v>10</v>
      </c>
      <c r="AB1" s="1">
        <v>11</v>
      </c>
      <c r="AC1" s="1">
        <v>12</v>
      </c>
      <c r="AD1" s="1">
        <v>13</v>
      </c>
      <c r="AE1" s="1">
        <v>14</v>
      </c>
      <c r="AF1" s="1">
        <v>15</v>
      </c>
      <c r="AG1" s="1">
        <v>16</v>
      </c>
      <c r="AH1" s="1">
        <v>17</v>
      </c>
      <c r="AI1" s="1">
        <v>18</v>
      </c>
      <c r="AJ1" s="1">
        <v>19</v>
      </c>
      <c r="AK1" s="1">
        <v>20</v>
      </c>
      <c r="AL1" s="1">
        <v>21</v>
      </c>
      <c r="AM1" s="1">
        <v>22</v>
      </c>
      <c r="AN1" s="1">
        <v>23</v>
      </c>
      <c r="AO1" s="1">
        <v>24</v>
      </c>
      <c r="AP1" s="1">
        <v>25</v>
      </c>
      <c r="AQ1" s="1">
        <v>26</v>
      </c>
      <c r="AR1" s="1">
        <v>27</v>
      </c>
      <c r="AS1" s="1">
        <v>28</v>
      </c>
      <c r="AT1" s="1">
        <v>29</v>
      </c>
      <c r="AU1" s="1">
        <v>30</v>
      </c>
      <c r="AV1" s="1">
        <v>31</v>
      </c>
      <c r="AW1" s="1">
        <v>32</v>
      </c>
      <c r="AX1" s="1">
        <v>33</v>
      </c>
      <c r="AY1" s="1">
        <v>34</v>
      </c>
      <c r="AZ1" s="1">
        <v>35</v>
      </c>
      <c r="BA1" s="1">
        <v>36</v>
      </c>
      <c r="BB1" s="1">
        <v>37</v>
      </c>
      <c r="BC1" s="1">
        <v>38</v>
      </c>
      <c r="BD1" s="1">
        <v>39</v>
      </c>
      <c r="BE1" s="1">
        <v>40</v>
      </c>
      <c r="BF1" s="1">
        <v>41</v>
      </c>
      <c r="BG1" s="1">
        <v>42</v>
      </c>
      <c r="BH1" s="1">
        <v>43</v>
      </c>
      <c r="BI1" s="1">
        <v>44</v>
      </c>
      <c r="BJ1" s="1">
        <v>45</v>
      </c>
      <c r="BK1" s="1">
        <v>46</v>
      </c>
      <c r="BL1" s="1">
        <v>47</v>
      </c>
      <c r="BM1" s="1">
        <v>48</v>
      </c>
      <c r="BN1" s="1">
        <v>49</v>
      </c>
      <c r="BO1" s="1">
        <v>50</v>
      </c>
      <c r="BP1" s="1">
        <v>51</v>
      </c>
      <c r="BQ1" s="1">
        <v>52</v>
      </c>
      <c r="BR1" s="1">
        <v>53</v>
      </c>
      <c r="BS1" s="1">
        <v>54</v>
      </c>
      <c r="BT1" s="1">
        <v>55</v>
      </c>
      <c r="BU1" s="1">
        <v>56</v>
      </c>
      <c r="BV1" s="1">
        <v>57</v>
      </c>
      <c r="BW1" s="1">
        <v>58</v>
      </c>
      <c r="BX1" s="1">
        <v>59</v>
      </c>
      <c r="BY1" s="1">
        <v>60</v>
      </c>
      <c r="BZ1" s="1">
        <v>61</v>
      </c>
      <c r="CA1" s="1">
        <v>62</v>
      </c>
      <c r="CB1" s="1">
        <v>63</v>
      </c>
      <c r="CC1" s="1">
        <v>64</v>
      </c>
      <c r="CD1" s="1">
        <v>65</v>
      </c>
      <c r="CE1" s="1">
        <v>66</v>
      </c>
      <c r="CF1" s="1">
        <v>67</v>
      </c>
      <c r="CG1" s="1">
        <v>68</v>
      </c>
    </row>
    <row r="2" spans="6:85" hidden="1" x14ac:dyDescent="0.3">
      <c r="Q2" t="s">
        <v>187</v>
      </c>
      <c r="R2" t="s">
        <v>176</v>
      </c>
      <c r="S2" t="s">
        <v>175</v>
      </c>
      <c r="T2" t="s">
        <v>174</v>
      </c>
      <c r="U2" t="s">
        <v>173</v>
      </c>
      <c r="V2" t="s">
        <v>172</v>
      </c>
      <c r="W2" t="s">
        <v>171</v>
      </c>
      <c r="X2" t="s">
        <v>170</v>
      </c>
      <c r="Y2" t="s">
        <v>169</v>
      </c>
      <c r="Z2" t="s">
        <v>168</v>
      </c>
      <c r="AA2" t="s">
        <v>167</v>
      </c>
      <c r="AB2" t="s">
        <v>166</v>
      </c>
      <c r="AC2" t="s">
        <v>165</v>
      </c>
      <c r="AD2" t="s">
        <v>164</v>
      </c>
      <c r="AE2" t="s">
        <v>163</v>
      </c>
      <c r="AF2" t="s">
        <v>162</v>
      </c>
      <c r="AG2" t="s">
        <v>161</v>
      </c>
      <c r="AH2" t="s">
        <v>160</v>
      </c>
      <c r="AI2" t="s">
        <v>159</v>
      </c>
      <c r="AJ2" t="s">
        <v>158</v>
      </c>
      <c r="AK2" t="s">
        <v>157</v>
      </c>
      <c r="AL2" t="s">
        <v>156</v>
      </c>
      <c r="AM2" t="s">
        <v>155</v>
      </c>
      <c r="AN2" t="s">
        <v>154</v>
      </c>
      <c r="AO2" t="s">
        <v>153</v>
      </c>
      <c r="AP2" t="s">
        <v>152</v>
      </c>
      <c r="AQ2" t="s">
        <v>151</v>
      </c>
      <c r="AR2" t="s">
        <v>150</v>
      </c>
      <c r="AS2" t="s">
        <v>149</v>
      </c>
      <c r="AT2" t="s">
        <v>148</v>
      </c>
      <c r="AU2" t="s">
        <v>147</v>
      </c>
      <c r="AV2" t="s">
        <v>146</v>
      </c>
      <c r="AW2" t="s">
        <v>145</v>
      </c>
      <c r="AX2" t="s">
        <v>144</v>
      </c>
      <c r="AY2" t="s">
        <v>143</v>
      </c>
      <c r="AZ2" t="s">
        <v>142</v>
      </c>
      <c r="BA2" t="s">
        <v>141</v>
      </c>
      <c r="BB2" t="s">
        <v>140</v>
      </c>
      <c r="BC2" t="s">
        <v>139</v>
      </c>
      <c r="BD2" t="s">
        <v>138</v>
      </c>
      <c r="BE2" t="s">
        <v>137</v>
      </c>
      <c r="BF2" t="s">
        <v>136</v>
      </c>
      <c r="BG2" t="s">
        <v>135</v>
      </c>
      <c r="BH2" t="s">
        <v>134</v>
      </c>
      <c r="BI2" t="s">
        <v>133</v>
      </c>
      <c r="BJ2" t="s">
        <v>132</v>
      </c>
      <c r="BK2" t="s">
        <v>131</v>
      </c>
      <c r="BL2" t="s">
        <v>130</v>
      </c>
      <c r="BM2" t="s">
        <v>129</v>
      </c>
      <c r="BN2" t="s">
        <v>128</v>
      </c>
      <c r="BO2" t="s">
        <v>127</v>
      </c>
      <c r="BP2" t="s">
        <v>126</v>
      </c>
      <c r="BQ2" t="s">
        <v>125</v>
      </c>
      <c r="BR2" t="s">
        <v>124</v>
      </c>
      <c r="BS2" t="s">
        <v>123</v>
      </c>
      <c r="BT2" t="s">
        <v>122</v>
      </c>
      <c r="BU2" t="s">
        <v>121</v>
      </c>
      <c r="BV2" t="s">
        <v>120</v>
      </c>
      <c r="BW2" t="s">
        <v>119</v>
      </c>
      <c r="BX2" t="s">
        <v>118</v>
      </c>
      <c r="BY2" t="s">
        <v>117</v>
      </c>
      <c r="BZ2" t="s">
        <v>116</v>
      </c>
      <c r="CA2" t="s">
        <v>115</v>
      </c>
      <c r="CB2" t="s">
        <v>114</v>
      </c>
      <c r="CC2" t="s">
        <v>113</v>
      </c>
      <c r="CD2" t="s">
        <v>112</v>
      </c>
      <c r="CE2" t="s">
        <v>111</v>
      </c>
      <c r="CF2" t="s">
        <v>110</v>
      </c>
      <c r="CG2" t="s">
        <v>109</v>
      </c>
    </row>
    <row r="3" spans="6:85" hidden="1" x14ac:dyDescent="0.3">
      <c r="Q3" t="s">
        <v>186</v>
      </c>
      <c r="R3" s="4">
        <v>4.1666666666666664E-2</v>
      </c>
      <c r="S3" s="4">
        <v>4.1666666666666664E-2</v>
      </c>
      <c r="T3" s="4">
        <v>0</v>
      </c>
      <c r="U3" s="4">
        <v>4.1666666666666664E-2</v>
      </c>
      <c r="V3" s="4">
        <v>4.1666666666666664E-2</v>
      </c>
      <c r="W3" s="4">
        <v>4.1666666666666664E-2</v>
      </c>
      <c r="X3" s="4">
        <v>0</v>
      </c>
      <c r="Y3" s="4">
        <v>0.54166666666666663</v>
      </c>
      <c r="Z3" s="4">
        <v>8.3333333333333329E-2</v>
      </c>
      <c r="AA3" s="4">
        <v>4.1666666666666664E-2</v>
      </c>
      <c r="AB3" s="4">
        <v>8.3333333333333329E-2</v>
      </c>
      <c r="AC3" s="4">
        <v>0</v>
      </c>
      <c r="AD3" s="4">
        <v>4.1666666666666664E-2</v>
      </c>
      <c r="AE3" s="4">
        <v>0</v>
      </c>
      <c r="AF3" s="4">
        <v>0.58333333333333337</v>
      </c>
      <c r="AG3" s="4">
        <v>0.95833333333333337</v>
      </c>
      <c r="AH3" s="4">
        <v>8.3333333333333329E-2</v>
      </c>
      <c r="AI3" s="4">
        <v>4.1666666666666664E-2</v>
      </c>
      <c r="AJ3" s="4">
        <v>4.1666666666666664E-2</v>
      </c>
      <c r="AK3" s="4">
        <v>0.41666666666666669</v>
      </c>
      <c r="AL3" s="4">
        <v>0.33333333333333331</v>
      </c>
      <c r="AM3" s="4">
        <v>0.125</v>
      </c>
      <c r="AN3" s="4">
        <v>8.3333333333333329E-2</v>
      </c>
      <c r="AO3" s="4">
        <v>0.20833333333333334</v>
      </c>
      <c r="AP3" s="4">
        <v>0</v>
      </c>
      <c r="AQ3" s="4">
        <v>0</v>
      </c>
      <c r="AR3" s="4">
        <v>0.29166666666666669</v>
      </c>
      <c r="AS3" s="4">
        <v>0.75</v>
      </c>
      <c r="AT3" s="4">
        <v>0.20833333333333334</v>
      </c>
      <c r="AU3" s="4">
        <v>0.16666666666666666</v>
      </c>
      <c r="AV3" s="4">
        <v>0.33333333333333331</v>
      </c>
      <c r="AW3" s="4">
        <v>0.5</v>
      </c>
      <c r="AX3" s="4">
        <v>0.125</v>
      </c>
      <c r="AY3" s="4">
        <v>8.3333333333333329E-2</v>
      </c>
      <c r="AZ3" s="4">
        <v>0.25</v>
      </c>
      <c r="BA3" s="4">
        <v>0.20833333333333334</v>
      </c>
      <c r="BB3" s="4">
        <v>8.3333333333333329E-2</v>
      </c>
      <c r="BC3" s="4">
        <v>4.1666666666666664E-2</v>
      </c>
      <c r="BD3" s="4">
        <v>0.16666666666666666</v>
      </c>
      <c r="BE3" s="4">
        <v>0.125</v>
      </c>
      <c r="BF3" s="4">
        <v>0.125</v>
      </c>
      <c r="BG3" s="4">
        <v>0.33333333333333331</v>
      </c>
      <c r="BH3" s="4">
        <v>0.125</v>
      </c>
      <c r="BI3" s="4">
        <v>0.375</v>
      </c>
      <c r="BJ3" s="4">
        <v>0.79166666666666663</v>
      </c>
      <c r="BK3" s="4">
        <v>0.29166666666666669</v>
      </c>
      <c r="BL3" s="4">
        <v>4.1666666666666664E-2</v>
      </c>
      <c r="BM3" s="4">
        <v>8.3333333333333329E-2</v>
      </c>
      <c r="BN3" s="4">
        <v>0</v>
      </c>
      <c r="BO3" s="4">
        <v>8.3333333333333329E-2</v>
      </c>
      <c r="BP3" s="4">
        <v>0.45833333333333331</v>
      </c>
      <c r="BQ3" s="4">
        <v>0.125</v>
      </c>
      <c r="BR3" s="4">
        <v>0.125</v>
      </c>
      <c r="BS3" s="4">
        <v>0.125</v>
      </c>
      <c r="BT3" s="4">
        <v>0.20833333333333334</v>
      </c>
      <c r="BU3" s="4">
        <v>0.16666666666666666</v>
      </c>
      <c r="BV3" s="4">
        <v>0.25</v>
      </c>
      <c r="BW3" s="4">
        <v>8.3333333333333329E-2</v>
      </c>
      <c r="BX3" s="4">
        <v>0.45833333333333331</v>
      </c>
      <c r="BY3" s="4">
        <v>0.20833333333333334</v>
      </c>
      <c r="BZ3" s="4">
        <v>0.125</v>
      </c>
      <c r="CA3" s="4">
        <v>4.1666666666666664E-2</v>
      </c>
      <c r="CB3" s="4">
        <v>0</v>
      </c>
      <c r="CC3" s="4">
        <v>0</v>
      </c>
      <c r="CD3" s="4">
        <v>8.3333333333333329E-2</v>
      </c>
      <c r="CE3" s="4">
        <v>0</v>
      </c>
      <c r="CF3" s="4">
        <v>8.3333333333333329E-2</v>
      </c>
      <c r="CG3" s="4">
        <v>4.1666666666666664E-2</v>
      </c>
    </row>
    <row r="4" spans="6:85" hidden="1" x14ac:dyDescent="0.3">
      <c r="Q4" t="s">
        <v>185</v>
      </c>
      <c r="R4" s="4">
        <v>7.6923076923076927E-2</v>
      </c>
      <c r="S4" s="4">
        <v>3.8461538461538464E-2</v>
      </c>
      <c r="T4" s="4">
        <v>7.6923076923076927E-2</v>
      </c>
      <c r="U4" s="4">
        <v>3.8461538461538464E-2</v>
      </c>
      <c r="V4" s="4">
        <v>0.23076923076923078</v>
      </c>
      <c r="W4" s="4">
        <v>0.34615384615384615</v>
      </c>
      <c r="X4" s="4">
        <v>0</v>
      </c>
      <c r="Y4" s="4">
        <v>7.6923076923076927E-2</v>
      </c>
      <c r="Z4" s="4">
        <v>3.8461538461538464E-2</v>
      </c>
      <c r="AA4" s="4">
        <v>0</v>
      </c>
      <c r="AB4" s="4">
        <v>3.8461538461538464E-2</v>
      </c>
      <c r="AC4" s="4">
        <v>3.8461538461538464E-2</v>
      </c>
      <c r="AD4" s="4">
        <v>0</v>
      </c>
      <c r="AE4" s="4">
        <v>0</v>
      </c>
      <c r="AF4" s="4">
        <v>0.38461538461538464</v>
      </c>
      <c r="AG4" s="4">
        <v>0.23076923076923078</v>
      </c>
      <c r="AH4" s="4">
        <v>0.34615384615384615</v>
      </c>
      <c r="AI4" s="4">
        <v>3.8461538461538464E-2</v>
      </c>
      <c r="AJ4" s="4">
        <v>0.26923076923076922</v>
      </c>
      <c r="AK4" s="4">
        <v>0.19230769230769232</v>
      </c>
      <c r="AL4" s="4">
        <v>0.23076923076923078</v>
      </c>
      <c r="AM4" s="4">
        <v>0.61538461538461542</v>
      </c>
      <c r="AN4" s="4">
        <v>0.11538461538461539</v>
      </c>
      <c r="AO4" s="4">
        <v>0.19230769230769232</v>
      </c>
      <c r="AP4" s="4">
        <v>7.6923076923076927E-2</v>
      </c>
      <c r="AQ4" s="4">
        <v>0.11538461538461539</v>
      </c>
      <c r="AR4" s="4">
        <v>0.11538461538461539</v>
      </c>
      <c r="AS4" s="4">
        <v>0.30769230769230771</v>
      </c>
      <c r="AT4" s="4">
        <v>0</v>
      </c>
      <c r="AU4" s="4">
        <v>0</v>
      </c>
      <c r="AV4" s="4">
        <v>0.5</v>
      </c>
      <c r="AW4" s="4">
        <v>0.65384615384615385</v>
      </c>
      <c r="AX4" s="4">
        <v>0.61538461538461542</v>
      </c>
      <c r="AY4" s="4">
        <v>0.23076923076923078</v>
      </c>
      <c r="AZ4" s="4">
        <v>0.15384615384615385</v>
      </c>
      <c r="BA4" s="4">
        <v>0.19230769230769232</v>
      </c>
      <c r="BB4" s="4">
        <v>3.8461538461538464E-2</v>
      </c>
      <c r="BC4" s="4">
        <v>3.8461538461538464E-2</v>
      </c>
      <c r="BD4" s="4">
        <v>7.6923076923076927E-2</v>
      </c>
      <c r="BE4" s="4">
        <v>0.11538461538461539</v>
      </c>
      <c r="BF4" s="4">
        <v>0.38461538461538464</v>
      </c>
      <c r="BG4" s="4">
        <v>0.42307692307692307</v>
      </c>
      <c r="BH4" s="4">
        <v>0.46153846153846156</v>
      </c>
      <c r="BI4" s="4">
        <v>0.15384615384615385</v>
      </c>
      <c r="BJ4" s="4">
        <v>0.65384615384615385</v>
      </c>
      <c r="BK4" s="4">
        <v>0.19230769230769232</v>
      </c>
      <c r="BL4" s="4">
        <v>3.8461538461538464E-2</v>
      </c>
      <c r="BM4" s="4">
        <v>0</v>
      </c>
      <c r="BN4" s="4">
        <v>0.15384615384615385</v>
      </c>
      <c r="BO4" s="4">
        <v>0.11538461538461539</v>
      </c>
      <c r="BP4" s="4">
        <v>0.26923076923076922</v>
      </c>
      <c r="BQ4" s="4">
        <v>0.19230769230769232</v>
      </c>
      <c r="BR4" s="4">
        <v>7.6923076923076927E-2</v>
      </c>
      <c r="BS4" s="4">
        <v>3.8461538461538464E-2</v>
      </c>
      <c r="BT4" s="4">
        <v>3.8461538461538464E-2</v>
      </c>
      <c r="BU4" s="4">
        <v>3.8461538461538464E-2</v>
      </c>
      <c r="BV4" s="4">
        <v>7.6923076923076927E-2</v>
      </c>
      <c r="BW4" s="4">
        <v>7.6923076923076927E-2</v>
      </c>
      <c r="BX4" s="4">
        <v>0</v>
      </c>
      <c r="BY4" s="4">
        <v>0.23076923076923078</v>
      </c>
      <c r="BZ4" s="4">
        <v>7.6923076923076927E-2</v>
      </c>
      <c r="CA4" s="4">
        <v>0</v>
      </c>
      <c r="CB4" s="4">
        <v>0</v>
      </c>
      <c r="CC4" s="4">
        <v>0.11538461538461539</v>
      </c>
      <c r="CD4" s="4">
        <v>0</v>
      </c>
      <c r="CE4" s="4">
        <v>0.30769230769230771</v>
      </c>
      <c r="CF4" s="4">
        <v>3.8461538461538464E-2</v>
      </c>
      <c r="CG4" s="4">
        <v>7.6923076923076927E-2</v>
      </c>
    </row>
    <row r="5" spans="6:85" hidden="1" x14ac:dyDescent="0.3">
      <c r="F5" s="2"/>
      <c r="Q5" t="s">
        <v>184</v>
      </c>
      <c r="R5" s="4">
        <v>5.8823529411764705E-2</v>
      </c>
      <c r="S5" s="4">
        <v>0</v>
      </c>
      <c r="T5" s="4">
        <v>0</v>
      </c>
      <c r="U5" s="4">
        <v>0</v>
      </c>
      <c r="V5" s="4">
        <v>0</v>
      </c>
      <c r="W5" s="4">
        <v>0.23529411764705882</v>
      </c>
      <c r="X5" s="4">
        <v>5.8823529411764705E-2</v>
      </c>
      <c r="Y5" s="4">
        <v>0.23529411764705882</v>
      </c>
      <c r="Z5" s="4">
        <v>5.8823529411764705E-2</v>
      </c>
      <c r="AA5" s="4">
        <v>0.11764705882352941</v>
      </c>
      <c r="AB5" s="4">
        <v>0.11764705882352941</v>
      </c>
      <c r="AC5" s="4">
        <v>0</v>
      </c>
      <c r="AD5" s="4">
        <v>5.8823529411764705E-2</v>
      </c>
      <c r="AE5" s="4">
        <v>5.8823529411764705E-2</v>
      </c>
      <c r="AF5" s="4">
        <v>0.17647058823529413</v>
      </c>
      <c r="AG5" s="4">
        <v>0.76470588235294112</v>
      </c>
      <c r="AH5" s="4">
        <v>0.35294117647058826</v>
      </c>
      <c r="AI5" s="4">
        <v>0.29411764705882354</v>
      </c>
      <c r="AJ5" s="4">
        <v>0.17647058823529413</v>
      </c>
      <c r="AK5" s="4">
        <v>0.58823529411764708</v>
      </c>
      <c r="AL5" s="4">
        <v>5.8823529411764705E-2</v>
      </c>
      <c r="AM5" s="4">
        <v>0.17647058823529413</v>
      </c>
      <c r="AN5" s="4">
        <v>0.6470588235294118</v>
      </c>
      <c r="AO5" s="4">
        <v>0.29411764705882354</v>
      </c>
      <c r="AP5" s="4">
        <v>0</v>
      </c>
      <c r="AQ5" s="4">
        <v>0.23529411764705882</v>
      </c>
      <c r="AR5" s="4">
        <v>5.8823529411764705E-2</v>
      </c>
      <c r="AS5" s="4">
        <v>0.70588235294117652</v>
      </c>
      <c r="AT5" s="4">
        <v>0.23529411764705882</v>
      </c>
      <c r="AU5" s="4">
        <v>0.35294117647058826</v>
      </c>
      <c r="AV5" s="4">
        <v>0.17647058823529413</v>
      </c>
      <c r="AW5" s="4">
        <v>0.6470588235294118</v>
      </c>
      <c r="AX5" s="4">
        <v>0.29411764705882354</v>
      </c>
      <c r="AY5" s="4">
        <v>0.41176470588235292</v>
      </c>
      <c r="AZ5" s="4">
        <v>0</v>
      </c>
      <c r="BA5" s="4">
        <v>0.35294117647058826</v>
      </c>
      <c r="BB5" s="4">
        <v>5.8823529411764705E-2</v>
      </c>
      <c r="BC5" s="4">
        <v>5.8823529411764705E-2</v>
      </c>
      <c r="BD5" s="4">
        <v>0.17647058823529413</v>
      </c>
      <c r="BE5" s="4">
        <v>5.8823529411764705E-2</v>
      </c>
      <c r="BF5" s="4">
        <v>0</v>
      </c>
      <c r="BG5" s="4">
        <v>0</v>
      </c>
      <c r="BH5" s="4">
        <v>0</v>
      </c>
      <c r="BI5" s="4">
        <v>0.47058823529411764</v>
      </c>
      <c r="BJ5" s="4">
        <v>0.6470588235294118</v>
      </c>
      <c r="BK5" s="4">
        <v>0.17647058823529413</v>
      </c>
      <c r="BL5" s="4">
        <v>0.17647058823529413</v>
      </c>
      <c r="BM5" s="4">
        <v>0.41176470588235292</v>
      </c>
      <c r="BN5" s="4">
        <v>5.8823529411764705E-2</v>
      </c>
      <c r="BO5" s="4">
        <v>0.11764705882352941</v>
      </c>
      <c r="BP5" s="4">
        <v>0.17647058823529413</v>
      </c>
      <c r="BQ5" s="4">
        <v>0.23529411764705882</v>
      </c>
      <c r="BR5" s="4">
        <v>0.29411764705882354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0.17647058823529413</v>
      </c>
      <c r="BY5" s="4">
        <v>0.11764705882352941</v>
      </c>
      <c r="BZ5" s="4">
        <v>0.11764705882352941</v>
      </c>
      <c r="CA5" s="4">
        <v>5.8823529411764705E-2</v>
      </c>
      <c r="CB5" s="4">
        <v>0.47058823529411764</v>
      </c>
      <c r="CC5" s="4">
        <v>0</v>
      </c>
      <c r="CD5" s="4">
        <v>0.17647058823529413</v>
      </c>
      <c r="CE5" s="4">
        <v>0.29411764705882354</v>
      </c>
      <c r="CF5" s="4">
        <v>5.8823529411764705E-2</v>
      </c>
      <c r="CG5" s="4">
        <v>0.11764705882352941</v>
      </c>
    </row>
    <row r="6" spans="6:85" hidden="1" x14ac:dyDescent="0.3">
      <c r="F6" s="15"/>
      <c r="Q6" t="s">
        <v>197</v>
      </c>
      <c r="R6" s="4">
        <v>0.18181818181818182</v>
      </c>
      <c r="S6" s="4">
        <v>0</v>
      </c>
      <c r="T6" s="4">
        <v>0</v>
      </c>
      <c r="U6" s="4">
        <v>9.0909090909090912E-2</v>
      </c>
      <c r="V6" s="4">
        <v>9.0909090909090912E-2</v>
      </c>
      <c r="W6" s="4">
        <v>0.22727272727272727</v>
      </c>
      <c r="X6" s="4">
        <v>4.5454545454545456E-2</v>
      </c>
      <c r="Y6" s="4">
        <v>0.22727272727272727</v>
      </c>
      <c r="Z6" s="4">
        <v>0</v>
      </c>
      <c r="AA6" s="4">
        <v>0</v>
      </c>
      <c r="AB6" s="4">
        <v>0.13636363636363635</v>
      </c>
      <c r="AC6" s="4">
        <v>0</v>
      </c>
      <c r="AD6" s="4">
        <v>0</v>
      </c>
      <c r="AE6" s="4">
        <v>0</v>
      </c>
      <c r="AF6" s="4">
        <v>0.40909090909090912</v>
      </c>
      <c r="AG6" s="4">
        <v>0.31818181818181818</v>
      </c>
      <c r="AH6" s="4">
        <v>0.72727272727272729</v>
      </c>
      <c r="AI6" s="4">
        <v>0.27272727272727271</v>
      </c>
      <c r="AJ6" s="4">
        <v>0.36363636363636365</v>
      </c>
      <c r="AK6" s="4">
        <v>0.36363636363636365</v>
      </c>
      <c r="AL6" s="4">
        <v>0.40909090909090912</v>
      </c>
      <c r="AM6" s="4">
        <v>0.18181818181818182</v>
      </c>
      <c r="AN6" s="4">
        <v>0.18181818181818182</v>
      </c>
      <c r="AO6" s="4">
        <v>4.5454545454545456E-2</v>
      </c>
      <c r="AP6" s="4">
        <v>0.13636363636363635</v>
      </c>
      <c r="AQ6" s="4">
        <v>0</v>
      </c>
      <c r="AR6" s="4">
        <v>0.31818181818181818</v>
      </c>
      <c r="AS6" s="4">
        <v>0.68181818181818177</v>
      </c>
      <c r="AT6" s="4">
        <v>0.13636363636363635</v>
      </c>
      <c r="AU6" s="4">
        <v>4.5454545454545456E-2</v>
      </c>
      <c r="AV6" s="4">
        <v>0.45454545454545453</v>
      </c>
      <c r="AW6" s="4">
        <v>0.63636363636363635</v>
      </c>
      <c r="AX6" s="4">
        <v>9.0909090909090912E-2</v>
      </c>
      <c r="AY6" s="4">
        <v>4.5454545454545456E-2</v>
      </c>
      <c r="AZ6" s="4">
        <v>0</v>
      </c>
      <c r="BA6" s="4">
        <v>0.72727272727272729</v>
      </c>
      <c r="BB6" s="4">
        <v>0</v>
      </c>
      <c r="BC6" s="4">
        <v>4.5454545454545456E-2</v>
      </c>
      <c r="BD6" s="4">
        <v>0.18181818181818182</v>
      </c>
      <c r="BE6" s="4">
        <v>0.18181818181818182</v>
      </c>
      <c r="BF6" s="4">
        <v>4.5454545454545456E-2</v>
      </c>
      <c r="BG6" s="4">
        <v>0.54545454545454541</v>
      </c>
      <c r="BH6" s="4">
        <v>9.0909090909090912E-2</v>
      </c>
      <c r="BI6" s="4">
        <v>0.22727272727272727</v>
      </c>
      <c r="BJ6" s="4">
        <v>0.81818181818181823</v>
      </c>
      <c r="BK6" s="4">
        <v>0.18181818181818182</v>
      </c>
      <c r="BL6" s="4">
        <v>4.5454545454545456E-2</v>
      </c>
      <c r="BM6" s="4">
        <v>4.5454545454545456E-2</v>
      </c>
      <c r="BN6" s="4">
        <v>0.22727272727272727</v>
      </c>
      <c r="BO6" s="4">
        <v>0</v>
      </c>
      <c r="BP6" s="4">
        <v>0.59090909090909094</v>
      </c>
      <c r="BQ6" s="4">
        <v>0.22727272727272727</v>
      </c>
      <c r="BR6" s="4">
        <v>9.0909090909090912E-2</v>
      </c>
      <c r="BS6" s="4">
        <v>0.22727272727272727</v>
      </c>
      <c r="BT6" s="4">
        <v>4.5454545454545456E-2</v>
      </c>
      <c r="BU6" s="4">
        <v>4.5454545454545456E-2</v>
      </c>
      <c r="BV6" s="4">
        <v>4.5454545454545456E-2</v>
      </c>
      <c r="BW6" s="4">
        <v>9.0909090909090912E-2</v>
      </c>
      <c r="BX6" s="4">
        <v>0.18181818181818182</v>
      </c>
      <c r="BY6" s="4">
        <v>0.13636363636363635</v>
      </c>
      <c r="BZ6" s="4">
        <v>0.18181818181818182</v>
      </c>
      <c r="CA6" s="4">
        <v>0.13636363636363635</v>
      </c>
      <c r="CB6" s="4">
        <v>0</v>
      </c>
      <c r="CC6" s="4">
        <v>0.18181818181818182</v>
      </c>
      <c r="CD6" s="4">
        <v>9.0909090909090912E-2</v>
      </c>
      <c r="CE6" s="4">
        <v>0.22727272727272727</v>
      </c>
      <c r="CF6" s="4">
        <v>0</v>
      </c>
      <c r="CG6" s="4">
        <v>0</v>
      </c>
    </row>
    <row r="7" spans="6:85" hidden="1" x14ac:dyDescent="0.3">
      <c r="F7" s="15"/>
      <c r="Q7" t="s">
        <v>198</v>
      </c>
      <c r="R7" s="4">
        <v>0</v>
      </c>
      <c r="S7" s="4">
        <v>0</v>
      </c>
      <c r="T7" s="4">
        <v>0</v>
      </c>
      <c r="U7" s="4">
        <v>0</v>
      </c>
      <c r="V7" s="4">
        <v>0.05</v>
      </c>
      <c r="W7" s="4">
        <v>0.1</v>
      </c>
      <c r="X7" s="4">
        <v>0</v>
      </c>
      <c r="Y7" s="4">
        <v>0.15</v>
      </c>
      <c r="Z7" s="4">
        <v>0.05</v>
      </c>
      <c r="AA7" s="4">
        <v>0.05</v>
      </c>
      <c r="AB7" s="4">
        <v>0.35</v>
      </c>
      <c r="AC7" s="4">
        <v>0.15</v>
      </c>
      <c r="AD7" s="4">
        <v>0.1</v>
      </c>
      <c r="AE7" s="4">
        <v>0</v>
      </c>
      <c r="AF7" s="4">
        <v>0.25</v>
      </c>
      <c r="AG7" s="4">
        <v>0.2</v>
      </c>
      <c r="AH7" s="4">
        <v>0.6</v>
      </c>
      <c r="AI7" s="4">
        <v>0.05</v>
      </c>
      <c r="AJ7" s="4">
        <v>0</v>
      </c>
      <c r="AK7" s="4">
        <v>0.25</v>
      </c>
      <c r="AL7" s="4">
        <v>0.4</v>
      </c>
      <c r="AM7" s="4">
        <v>0.1</v>
      </c>
      <c r="AN7" s="4">
        <v>0.05</v>
      </c>
      <c r="AO7" s="4">
        <v>0.65</v>
      </c>
      <c r="AP7" s="4">
        <v>0</v>
      </c>
      <c r="AQ7" s="4">
        <v>0.5</v>
      </c>
      <c r="AR7" s="4">
        <v>0.15</v>
      </c>
      <c r="AS7" s="4">
        <v>0.7</v>
      </c>
      <c r="AT7" s="4">
        <v>0.65</v>
      </c>
      <c r="AU7" s="4">
        <v>0.1</v>
      </c>
      <c r="AV7" s="4">
        <v>0.5</v>
      </c>
      <c r="AW7" s="4">
        <v>0</v>
      </c>
      <c r="AX7" s="4">
        <v>0.1</v>
      </c>
      <c r="AY7" s="4">
        <v>0.1</v>
      </c>
      <c r="AZ7" s="4">
        <v>0.35</v>
      </c>
      <c r="BA7" s="4">
        <v>0.55000000000000004</v>
      </c>
      <c r="BB7" s="4">
        <v>0.3</v>
      </c>
      <c r="BC7" s="4">
        <v>0.15</v>
      </c>
      <c r="BD7" s="4">
        <v>0.05</v>
      </c>
      <c r="BE7" s="4">
        <v>0.1</v>
      </c>
      <c r="BF7" s="4">
        <v>0.05</v>
      </c>
      <c r="BG7" s="4">
        <v>0.4</v>
      </c>
      <c r="BH7" s="4">
        <v>0.15</v>
      </c>
      <c r="BI7" s="4">
        <v>0.3</v>
      </c>
      <c r="BJ7" s="4">
        <v>0.85</v>
      </c>
      <c r="BK7" s="4">
        <v>0.2</v>
      </c>
      <c r="BL7" s="4">
        <v>0.05</v>
      </c>
      <c r="BM7" s="4">
        <v>0.1</v>
      </c>
      <c r="BN7" s="4">
        <v>0.05</v>
      </c>
      <c r="BO7" s="4">
        <v>0</v>
      </c>
      <c r="BP7" s="4">
        <v>0.35</v>
      </c>
      <c r="BQ7" s="4">
        <v>0.1</v>
      </c>
      <c r="BR7" s="4">
        <v>0.15</v>
      </c>
      <c r="BS7" s="4">
        <v>0</v>
      </c>
      <c r="BT7" s="4">
        <v>0.25</v>
      </c>
      <c r="BU7" s="4">
        <v>0.1</v>
      </c>
      <c r="BV7" s="4">
        <v>0.15</v>
      </c>
      <c r="BW7" s="4">
        <v>0.15</v>
      </c>
      <c r="BX7" s="4">
        <v>0.15</v>
      </c>
      <c r="BY7" s="4">
        <v>0.1</v>
      </c>
      <c r="BZ7" s="4">
        <v>0.15</v>
      </c>
      <c r="CA7" s="4">
        <v>0.05</v>
      </c>
      <c r="CB7" s="4">
        <v>0</v>
      </c>
      <c r="CC7" s="4">
        <v>0</v>
      </c>
      <c r="CD7" s="4">
        <v>0.2</v>
      </c>
      <c r="CE7" s="4">
        <v>0.3</v>
      </c>
      <c r="CF7" s="4">
        <v>0</v>
      </c>
      <c r="CG7" s="4">
        <v>0.05</v>
      </c>
    </row>
    <row r="8" spans="6:85" hidden="1" x14ac:dyDescent="0.3">
      <c r="F8" s="15"/>
      <c r="Q8" t="s">
        <v>199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</row>
    <row r="9" spans="6:85" hidden="1" x14ac:dyDescent="0.3">
      <c r="F9" s="15"/>
      <c r="Q9" t="s">
        <v>200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</row>
    <row r="10" spans="6:85" hidden="1" x14ac:dyDescent="0.3">
      <c r="F10" s="15"/>
      <c r="Q10" t="s">
        <v>201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</row>
    <row r="11" spans="6:85" hidden="1" x14ac:dyDescent="0.3">
      <c r="F11" s="15"/>
      <c r="Q11" t="s">
        <v>202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</row>
    <row r="12" spans="6:85" hidden="1" x14ac:dyDescent="0.3">
      <c r="F12" s="15"/>
      <c r="Q12" t="s">
        <v>203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</row>
    <row r="13" spans="6:85" hidden="1" x14ac:dyDescent="0.3">
      <c r="F13" s="15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</row>
    <row r="14" spans="6:85" hidden="1" x14ac:dyDescent="0.3">
      <c r="F14" s="2"/>
    </row>
    <row r="15" spans="6:85" hidden="1" x14ac:dyDescent="0.3">
      <c r="R15" t="s">
        <v>176</v>
      </c>
      <c r="S15" t="s">
        <v>175</v>
      </c>
      <c r="T15" t="s">
        <v>174</v>
      </c>
      <c r="U15" t="s">
        <v>173</v>
      </c>
      <c r="V15" t="s">
        <v>172</v>
      </c>
      <c r="W15" t="s">
        <v>171</v>
      </c>
      <c r="X15" t="s">
        <v>170</v>
      </c>
      <c r="Y15" t="s">
        <v>169</v>
      </c>
      <c r="Z15" t="s">
        <v>168</v>
      </c>
      <c r="AA15" t="s">
        <v>167</v>
      </c>
      <c r="AB15" t="s">
        <v>166</v>
      </c>
      <c r="AC15" t="s">
        <v>165</v>
      </c>
      <c r="AD15" t="s">
        <v>164</v>
      </c>
      <c r="AE15" t="s">
        <v>163</v>
      </c>
      <c r="AF15" t="s">
        <v>162</v>
      </c>
      <c r="AG15" t="s">
        <v>161</v>
      </c>
      <c r="AH15" t="s">
        <v>160</v>
      </c>
      <c r="AI15" t="s">
        <v>159</v>
      </c>
      <c r="AJ15" t="s">
        <v>158</v>
      </c>
      <c r="AK15" t="s">
        <v>157</v>
      </c>
      <c r="AL15" t="s">
        <v>156</v>
      </c>
      <c r="AM15" t="s">
        <v>155</v>
      </c>
      <c r="AN15" t="s">
        <v>154</v>
      </c>
      <c r="AO15" t="s">
        <v>153</v>
      </c>
      <c r="AP15" t="s">
        <v>152</v>
      </c>
      <c r="AQ15" t="s">
        <v>151</v>
      </c>
      <c r="AR15" t="s">
        <v>150</v>
      </c>
      <c r="AS15" t="s">
        <v>149</v>
      </c>
      <c r="AT15" t="s">
        <v>148</v>
      </c>
      <c r="AU15" t="s">
        <v>147</v>
      </c>
      <c r="AV15" t="s">
        <v>146</v>
      </c>
      <c r="AW15" t="s">
        <v>145</v>
      </c>
      <c r="AX15" t="s">
        <v>144</v>
      </c>
      <c r="AY15" t="s">
        <v>143</v>
      </c>
      <c r="AZ15" t="s">
        <v>142</v>
      </c>
      <c r="BA15" t="s">
        <v>141</v>
      </c>
      <c r="BB15" t="s">
        <v>140</v>
      </c>
      <c r="BC15" t="s">
        <v>139</v>
      </c>
      <c r="BD15" t="s">
        <v>138</v>
      </c>
      <c r="BE15" t="s">
        <v>137</v>
      </c>
      <c r="BF15" t="s">
        <v>136</v>
      </c>
      <c r="BG15" t="s">
        <v>135</v>
      </c>
      <c r="BH15" t="s">
        <v>134</v>
      </c>
      <c r="BI15" t="s">
        <v>133</v>
      </c>
      <c r="BJ15" t="s">
        <v>132</v>
      </c>
      <c r="BK15" t="s">
        <v>131</v>
      </c>
      <c r="BL15" t="s">
        <v>130</v>
      </c>
      <c r="BM15" t="s">
        <v>129</v>
      </c>
      <c r="BN15" t="s">
        <v>128</v>
      </c>
      <c r="BO15" t="s">
        <v>127</v>
      </c>
      <c r="BP15" t="s">
        <v>126</v>
      </c>
      <c r="BQ15" t="s">
        <v>125</v>
      </c>
      <c r="BR15" t="s">
        <v>124</v>
      </c>
      <c r="BS15" t="s">
        <v>123</v>
      </c>
      <c r="BT15" t="s">
        <v>122</v>
      </c>
      <c r="BU15" t="s">
        <v>121</v>
      </c>
      <c r="BV15" t="s">
        <v>120</v>
      </c>
      <c r="BW15" t="s">
        <v>119</v>
      </c>
      <c r="BX15" t="s">
        <v>118</v>
      </c>
      <c r="BY15" t="s">
        <v>117</v>
      </c>
      <c r="BZ15" t="s">
        <v>116</v>
      </c>
      <c r="CA15" t="s">
        <v>115</v>
      </c>
      <c r="CB15" t="s">
        <v>114</v>
      </c>
      <c r="CC15" t="s">
        <v>113</v>
      </c>
      <c r="CD15" t="s">
        <v>112</v>
      </c>
      <c r="CE15" t="s">
        <v>111</v>
      </c>
      <c r="CF15" t="s">
        <v>110</v>
      </c>
      <c r="CG15" t="s">
        <v>109</v>
      </c>
    </row>
    <row r="16" spans="6:85" hidden="1" x14ac:dyDescent="0.3">
      <c r="Q16" t="s">
        <v>186</v>
      </c>
      <c r="R16">
        <f ca="1">IFERROR(AVERAGEIF($E$35:$E$143,VALUE(RIGHT($Q3,2)),R$35:R$143),0)</f>
        <v>4.1666666666666664E-2</v>
      </c>
      <c r="S16">
        <f t="shared" ref="S16:Z16" ca="1" si="0">IFERROR(AVERAGEIF($E$35:$E$143,VALUE(RIGHT($Q3,2)),S$35:S$143),0)</f>
        <v>4.1666666666666664E-2</v>
      </c>
      <c r="T16">
        <f t="shared" ca="1" si="0"/>
        <v>0</v>
      </c>
      <c r="U16">
        <f t="shared" ca="1" si="0"/>
        <v>4.1666666666666664E-2</v>
      </c>
      <c r="V16">
        <f t="shared" ca="1" si="0"/>
        <v>4.1666666666666664E-2</v>
      </c>
      <c r="W16">
        <f t="shared" ca="1" si="0"/>
        <v>4.1666666666666664E-2</v>
      </c>
      <c r="X16">
        <f t="shared" ca="1" si="0"/>
        <v>0</v>
      </c>
      <c r="Y16">
        <f t="shared" ca="1" si="0"/>
        <v>0.54166666666666663</v>
      </c>
      <c r="Z16">
        <f t="shared" ca="1" si="0"/>
        <v>8.3333333333333329E-2</v>
      </c>
      <c r="AA16">
        <f t="shared" ref="AA16:CG16" ca="1" si="1">IFERROR(AVERAGEIF($E$35:$E$143,VALUE(RIGHT($Q3,2)),AA$35:AA$143),0)</f>
        <v>4.1666666666666664E-2</v>
      </c>
      <c r="AB16">
        <f t="shared" ca="1" si="1"/>
        <v>8.3333333333333329E-2</v>
      </c>
      <c r="AC16">
        <f t="shared" ca="1" si="1"/>
        <v>0</v>
      </c>
      <c r="AD16">
        <f t="shared" ca="1" si="1"/>
        <v>4.1666666666666664E-2</v>
      </c>
      <c r="AE16">
        <f t="shared" ca="1" si="1"/>
        <v>0</v>
      </c>
      <c r="AF16">
        <f t="shared" ca="1" si="1"/>
        <v>0.58333333333333337</v>
      </c>
      <c r="AG16">
        <f t="shared" ca="1" si="1"/>
        <v>0.95833333333333337</v>
      </c>
      <c r="AH16">
        <f t="shared" ca="1" si="1"/>
        <v>8.3333333333333329E-2</v>
      </c>
      <c r="AI16">
        <f t="shared" ca="1" si="1"/>
        <v>4.1666666666666664E-2</v>
      </c>
      <c r="AJ16">
        <f t="shared" ca="1" si="1"/>
        <v>4.1666666666666664E-2</v>
      </c>
      <c r="AK16">
        <f t="shared" ca="1" si="1"/>
        <v>0.41666666666666669</v>
      </c>
      <c r="AL16">
        <f t="shared" ca="1" si="1"/>
        <v>0.33333333333333331</v>
      </c>
      <c r="AM16">
        <f t="shared" ca="1" si="1"/>
        <v>0.125</v>
      </c>
      <c r="AN16">
        <f t="shared" ca="1" si="1"/>
        <v>8.3333333333333329E-2</v>
      </c>
      <c r="AO16">
        <f t="shared" ca="1" si="1"/>
        <v>0.20833333333333334</v>
      </c>
      <c r="AP16">
        <f t="shared" ca="1" si="1"/>
        <v>0</v>
      </c>
      <c r="AQ16">
        <f t="shared" ca="1" si="1"/>
        <v>0</v>
      </c>
      <c r="AR16">
        <f t="shared" ca="1" si="1"/>
        <v>0.29166666666666669</v>
      </c>
      <c r="AS16">
        <f t="shared" ca="1" si="1"/>
        <v>0.75</v>
      </c>
      <c r="AT16">
        <f t="shared" ca="1" si="1"/>
        <v>0.20833333333333334</v>
      </c>
      <c r="AU16">
        <f t="shared" ca="1" si="1"/>
        <v>0.16666666666666666</v>
      </c>
      <c r="AV16">
        <f t="shared" ca="1" si="1"/>
        <v>0.33333333333333331</v>
      </c>
      <c r="AW16">
        <f t="shared" ca="1" si="1"/>
        <v>0.5</v>
      </c>
      <c r="AX16">
        <f t="shared" ca="1" si="1"/>
        <v>0.125</v>
      </c>
      <c r="AY16">
        <f t="shared" ca="1" si="1"/>
        <v>8.3333333333333329E-2</v>
      </c>
      <c r="AZ16">
        <f t="shared" ca="1" si="1"/>
        <v>0.25</v>
      </c>
      <c r="BA16">
        <f t="shared" ca="1" si="1"/>
        <v>0.20833333333333334</v>
      </c>
      <c r="BB16">
        <f t="shared" ca="1" si="1"/>
        <v>8.3333333333333329E-2</v>
      </c>
      <c r="BC16">
        <f t="shared" ca="1" si="1"/>
        <v>4.1666666666666664E-2</v>
      </c>
      <c r="BD16">
        <f t="shared" ca="1" si="1"/>
        <v>0.16666666666666666</v>
      </c>
      <c r="BE16">
        <f t="shared" ca="1" si="1"/>
        <v>0.125</v>
      </c>
      <c r="BF16">
        <f t="shared" ca="1" si="1"/>
        <v>0.125</v>
      </c>
      <c r="BG16">
        <f t="shared" ca="1" si="1"/>
        <v>0.33333333333333331</v>
      </c>
      <c r="BH16">
        <f t="shared" ca="1" si="1"/>
        <v>0.125</v>
      </c>
      <c r="BI16">
        <f t="shared" ca="1" si="1"/>
        <v>0.375</v>
      </c>
      <c r="BJ16">
        <f t="shared" ca="1" si="1"/>
        <v>0.79166666666666663</v>
      </c>
      <c r="BK16">
        <f t="shared" ca="1" si="1"/>
        <v>0.29166666666666669</v>
      </c>
      <c r="BL16">
        <f t="shared" ca="1" si="1"/>
        <v>4.1666666666666664E-2</v>
      </c>
      <c r="BM16">
        <f t="shared" ca="1" si="1"/>
        <v>8.3333333333333329E-2</v>
      </c>
      <c r="BN16">
        <f t="shared" ca="1" si="1"/>
        <v>0</v>
      </c>
      <c r="BO16">
        <f t="shared" ca="1" si="1"/>
        <v>8.3333333333333329E-2</v>
      </c>
      <c r="BP16">
        <f t="shared" ca="1" si="1"/>
        <v>0.45833333333333331</v>
      </c>
      <c r="BQ16">
        <f t="shared" ca="1" si="1"/>
        <v>0.125</v>
      </c>
      <c r="BR16">
        <f t="shared" ca="1" si="1"/>
        <v>0.125</v>
      </c>
      <c r="BS16">
        <f t="shared" ca="1" si="1"/>
        <v>0.125</v>
      </c>
      <c r="BT16">
        <f t="shared" ca="1" si="1"/>
        <v>0.20833333333333334</v>
      </c>
      <c r="BU16">
        <f t="shared" ca="1" si="1"/>
        <v>0.16666666666666666</v>
      </c>
      <c r="BV16">
        <f t="shared" ca="1" si="1"/>
        <v>0.25</v>
      </c>
      <c r="BW16">
        <f t="shared" ca="1" si="1"/>
        <v>8.3333333333333329E-2</v>
      </c>
      <c r="BX16">
        <f t="shared" ca="1" si="1"/>
        <v>0.45833333333333331</v>
      </c>
      <c r="BY16">
        <f t="shared" ca="1" si="1"/>
        <v>0.20833333333333334</v>
      </c>
      <c r="BZ16">
        <f t="shared" ca="1" si="1"/>
        <v>0.125</v>
      </c>
      <c r="CA16">
        <f t="shared" ca="1" si="1"/>
        <v>4.1666666666666664E-2</v>
      </c>
      <c r="CB16">
        <f t="shared" ca="1" si="1"/>
        <v>0</v>
      </c>
      <c r="CC16">
        <f t="shared" ca="1" si="1"/>
        <v>0</v>
      </c>
      <c r="CD16">
        <f t="shared" ca="1" si="1"/>
        <v>8.3333333333333329E-2</v>
      </c>
      <c r="CE16">
        <f t="shared" ca="1" si="1"/>
        <v>0</v>
      </c>
      <c r="CF16">
        <f t="shared" ca="1" si="1"/>
        <v>8.3333333333333329E-2</v>
      </c>
      <c r="CG16">
        <f t="shared" ca="1" si="1"/>
        <v>4.1666666666666664E-2</v>
      </c>
    </row>
    <row r="17" spans="6:85" hidden="1" x14ac:dyDescent="0.3">
      <c r="Q17" t="s">
        <v>185</v>
      </c>
      <c r="R17">
        <f t="shared" ref="R17:Y25" ca="1" si="2">IFERROR(AVERAGEIF($E$35:$E$143,VALUE(RIGHT($Q4,2)),R$35:R$143),0)</f>
        <v>7.6923076923076927E-2</v>
      </c>
      <c r="S17">
        <f t="shared" ca="1" si="2"/>
        <v>3.8461538461538464E-2</v>
      </c>
      <c r="T17">
        <f t="shared" ca="1" si="2"/>
        <v>7.6923076923076927E-2</v>
      </c>
      <c r="U17">
        <f t="shared" ca="1" si="2"/>
        <v>3.8461538461538464E-2</v>
      </c>
      <c r="V17">
        <f t="shared" ca="1" si="2"/>
        <v>0.23076923076923078</v>
      </c>
      <c r="W17">
        <f t="shared" ca="1" si="2"/>
        <v>0.34615384615384615</v>
      </c>
      <c r="X17">
        <f t="shared" ca="1" si="2"/>
        <v>0</v>
      </c>
      <c r="Y17">
        <f t="shared" ca="1" si="2"/>
        <v>7.6923076923076927E-2</v>
      </c>
      <c r="Z17">
        <f t="shared" ref="Z17:CG17" ca="1" si="3">IFERROR(AVERAGEIF($E$35:$E$143,VALUE(RIGHT($Q4,2)),Z$35:Z$143),0)</f>
        <v>3.8461538461538464E-2</v>
      </c>
      <c r="AA17">
        <f t="shared" ca="1" si="3"/>
        <v>0</v>
      </c>
      <c r="AB17">
        <f t="shared" ca="1" si="3"/>
        <v>3.8461538461538464E-2</v>
      </c>
      <c r="AC17">
        <f t="shared" ca="1" si="3"/>
        <v>3.8461538461538464E-2</v>
      </c>
      <c r="AD17">
        <f t="shared" ca="1" si="3"/>
        <v>0</v>
      </c>
      <c r="AE17">
        <f t="shared" ca="1" si="3"/>
        <v>0</v>
      </c>
      <c r="AF17">
        <f t="shared" ca="1" si="3"/>
        <v>0.38461538461538464</v>
      </c>
      <c r="AG17">
        <f t="shared" ca="1" si="3"/>
        <v>0.23076923076923078</v>
      </c>
      <c r="AH17">
        <f t="shared" ca="1" si="3"/>
        <v>0.34615384615384615</v>
      </c>
      <c r="AI17">
        <f t="shared" ca="1" si="3"/>
        <v>3.8461538461538464E-2</v>
      </c>
      <c r="AJ17">
        <f t="shared" ca="1" si="3"/>
        <v>0.26923076923076922</v>
      </c>
      <c r="AK17">
        <f t="shared" ca="1" si="3"/>
        <v>0.19230769230769232</v>
      </c>
      <c r="AL17">
        <f t="shared" ca="1" si="3"/>
        <v>0.23076923076923078</v>
      </c>
      <c r="AM17">
        <f t="shared" ca="1" si="3"/>
        <v>0.61538461538461542</v>
      </c>
      <c r="AN17">
        <f t="shared" ca="1" si="3"/>
        <v>0.11538461538461539</v>
      </c>
      <c r="AO17">
        <f t="shared" ca="1" si="3"/>
        <v>0.19230769230769232</v>
      </c>
      <c r="AP17">
        <f t="shared" ca="1" si="3"/>
        <v>7.6923076923076927E-2</v>
      </c>
      <c r="AQ17">
        <f t="shared" ca="1" si="3"/>
        <v>0.11538461538461539</v>
      </c>
      <c r="AR17">
        <f t="shared" ca="1" si="3"/>
        <v>0.11538461538461539</v>
      </c>
      <c r="AS17">
        <f t="shared" ca="1" si="3"/>
        <v>0.30769230769230771</v>
      </c>
      <c r="AT17">
        <f t="shared" ca="1" si="3"/>
        <v>0</v>
      </c>
      <c r="AU17">
        <f t="shared" ca="1" si="3"/>
        <v>0</v>
      </c>
      <c r="AV17">
        <f t="shared" ca="1" si="3"/>
        <v>0.5</v>
      </c>
      <c r="AW17">
        <f t="shared" ca="1" si="3"/>
        <v>0.65384615384615385</v>
      </c>
      <c r="AX17">
        <f t="shared" ca="1" si="3"/>
        <v>0.61538461538461542</v>
      </c>
      <c r="AY17">
        <f t="shared" ca="1" si="3"/>
        <v>0.23076923076923078</v>
      </c>
      <c r="AZ17">
        <f t="shared" ca="1" si="3"/>
        <v>0.15384615384615385</v>
      </c>
      <c r="BA17">
        <f t="shared" ca="1" si="3"/>
        <v>0.19230769230769232</v>
      </c>
      <c r="BB17">
        <f t="shared" ca="1" si="3"/>
        <v>3.8461538461538464E-2</v>
      </c>
      <c r="BC17">
        <f t="shared" ca="1" si="3"/>
        <v>3.8461538461538464E-2</v>
      </c>
      <c r="BD17">
        <f t="shared" ca="1" si="3"/>
        <v>7.6923076923076927E-2</v>
      </c>
      <c r="BE17">
        <f t="shared" ca="1" si="3"/>
        <v>0.11538461538461539</v>
      </c>
      <c r="BF17">
        <f t="shared" ca="1" si="3"/>
        <v>0.38461538461538464</v>
      </c>
      <c r="BG17">
        <f t="shared" ca="1" si="3"/>
        <v>0.42307692307692307</v>
      </c>
      <c r="BH17">
        <f t="shared" ca="1" si="3"/>
        <v>0.46153846153846156</v>
      </c>
      <c r="BI17">
        <f t="shared" ca="1" si="3"/>
        <v>0.15384615384615385</v>
      </c>
      <c r="BJ17">
        <f t="shared" ca="1" si="3"/>
        <v>0.65384615384615385</v>
      </c>
      <c r="BK17">
        <f t="shared" ca="1" si="3"/>
        <v>0.19230769230769232</v>
      </c>
      <c r="BL17">
        <f t="shared" ca="1" si="3"/>
        <v>3.8461538461538464E-2</v>
      </c>
      <c r="BM17">
        <f t="shared" ca="1" si="3"/>
        <v>0</v>
      </c>
      <c r="BN17">
        <f t="shared" ca="1" si="3"/>
        <v>0.15384615384615385</v>
      </c>
      <c r="BO17">
        <f t="shared" ca="1" si="3"/>
        <v>0.11538461538461539</v>
      </c>
      <c r="BP17">
        <f t="shared" ca="1" si="3"/>
        <v>0.26923076923076922</v>
      </c>
      <c r="BQ17">
        <f t="shared" ca="1" si="3"/>
        <v>0.19230769230769232</v>
      </c>
      <c r="BR17">
        <f t="shared" ca="1" si="3"/>
        <v>7.6923076923076927E-2</v>
      </c>
      <c r="BS17">
        <f t="shared" ca="1" si="3"/>
        <v>3.8461538461538464E-2</v>
      </c>
      <c r="BT17">
        <f t="shared" ca="1" si="3"/>
        <v>3.8461538461538464E-2</v>
      </c>
      <c r="BU17">
        <f t="shared" ca="1" si="3"/>
        <v>3.8461538461538464E-2</v>
      </c>
      <c r="BV17">
        <f t="shared" ca="1" si="3"/>
        <v>7.6923076923076927E-2</v>
      </c>
      <c r="BW17">
        <f t="shared" ca="1" si="3"/>
        <v>7.6923076923076927E-2</v>
      </c>
      <c r="BX17">
        <f t="shared" ca="1" si="3"/>
        <v>0</v>
      </c>
      <c r="BY17">
        <f t="shared" ca="1" si="3"/>
        <v>0.23076923076923078</v>
      </c>
      <c r="BZ17">
        <f t="shared" ca="1" si="3"/>
        <v>7.6923076923076927E-2</v>
      </c>
      <c r="CA17">
        <f t="shared" ca="1" si="3"/>
        <v>0</v>
      </c>
      <c r="CB17">
        <f t="shared" ca="1" si="3"/>
        <v>0</v>
      </c>
      <c r="CC17">
        <f t="shared" ca="1" si="3"/>
        <v>0.11538461538461539</v>
      </c>
      <c r="CD17">
        <f t="shared" ca="1" si="3"/>
        <v>0</v>
      </c>
      <c r="CE17">
        <f t="shared" ca="1" si="3"/>
        <v>0.30769230769230771</v>
      </c>
      <c r="CF17">
        <f t="shared" ca="1" si="3"/>
        <v>3.8461538461538464E-2</v>
      </c>
      <c r="CG17">
        <f t="shared" ca="1" si="3"/>
        <v>7.6923076923076927E-2</v>
      </c>
    </row>
    <row r="18" spans="6:85" hidden="1" x14ac:dyDescent="0.3">
      <c r="Q18" t="s">
        <v>184</v>
      </c>
      <c r="R18">
        <f t="shared" ca="1" si="2"/>
        <v>5.8823529411764705E-2</v>
      </c>
      <c r="S18">
        <f t="shared" ca="1" si="2"/>
        <v>0</v>
      </c>
      <c r="T18">
        <f t="shared" ca="1" si="2"/>
        <v>0</v>
      </c>
      <c r="U18">
        <f t="shared" ca="1" si="2"/>
        <v>0</v>
      </c>
      <c r="V18">
        <f t="shared" ca="1" si="2"/>
        <v>0</v>
      </c>
      <c r="W18">
        <f t="shared" ca="1" si="2"/>
        <v>0.23529411764705882</v>
      </c>
      <c r="X18">
        <f t="shared" ca="1" si="2"/>
        <v>5.8823529411764705E-2</v>
      </c>
      <c r="Y18">
        <f t="shared" ca="1" si="2"/>
        <v>0.23529411764705882</v>
      </c>
      <c r="Z18">
        <f t="shared" ref="Z18:CG18" ca="1" si="4">IFERROR(AVERAGEIF($E$35:$E$143,VALUE(RIGHT($Q5,2)),Z$35:Z$143),0)</f>
        <v>5.8823529411764705E-2</v>
      </c>
      <c r="AA18">
        <f t="shared" ca="1" si="4"/>
        <v>0.11764705882352941</v>
      </c>
      <c r="AB18">
        <f t="shared" ca="1" si="4"/>
        <v>0.11764705882352941</v>
      </c>
      <c r="AC18">
        <f t="shared" ca="1" si="4"/>
        <v>0</v>
      </c>
      <c r="AD18">
        <f t="shared" ca="1" si="4"/>
        <v>5.8823529411764705E-2</v>
      </c>
      <c r="AE18">
        <f t="shared" ca="1" si="4"/>
        <v>5.8823529411764705E-2</v>
      </c>
      <c r="AF18">
        <f t="shared" ca="1" si="4"/>
        <v>0.17647058823529413</v>
      </c>
      <c r="AG18">
        <f t="shared" ca="1" si="4"/>
        <v>0.76470588235294112</v>
      </c>
      <c r="AH18">
        <f t="shared" ca="1" si="4"/>
        <v>0.35294117647058826</v>
      </c>
      <c r="AI18">
        <f t="shared" ca="1" si="4"/>
        <v>0.29411764705882354</v>
      </c>
      <c r="AJ18">
        <f t="shared" ca="1" si="4"/>
        <v>0.17647058823529413</v>
      </c>
      <c r="AK18">
        <f t="shared" ca="1" si="4"/>
        <v>0.58823529411764708</v>
      </c>
      <c r="AL18">
        <f t="shared" ca="1" si="4"/>
        <v>5.8823529411764705E-2</v>
      </c>
      <c r="AM18">
        <f t="shared" ca="1" si="4"/>
        <v>0.17647058823529413</v>
      </c>
      <c r="AN18">
        <f t="shared" ca="1" si="4"/>
        <v>0.6470588235294118</v>
      </c>
      <c r="AO18">
        <f t="shared" ca="1" si="4"/>
        <v>0.29411764705882354</v>
      </c>
      <c r="AP18">
        <f t="shared" ca="1" si="4"/>
        <v>0</v>
      </c>
      <c r="AQ18">
        <f t="shared" ca="1" si="4"/>
        <v>0.23529411764705882</v>
      </c>
      <c r="AR18">
        <f t="shared" ca="1" si="4"/>
        <v>5.8823529411764705E-2</v>
      </c>
      <c r="AS18">
        <f t="shared" ca="1" si="4"/>
        <v>0.70588235294117652</v>
      </c>
      <c r="AT18">
        <f t="shared" ca="1" si="4"/>
        <v>0.23529411764705882</v>
      </c>
      <c r="AU18">
        <f t="shared" ca="1" si="4"/>
        <v>0.35294117647058826</v>
      </c>
      <c r="AV18">
        <f t="shared" ca="1" si="4"/>
        <v>0.17647058823529413</v>
      </c>
      <c r="AW18">
        <f t="shared" ca="1" si="4"/>
        <v>0.6470588235294118</v>
      </c>
      <c r="AX18">
        <f t="shared" ca="1" si="4"/>
        <v>0.29411764705882354</v>
      </c>
      <c r="AY18">
        <f t="shared" ca="1" si="4"/>
        <v>0.41176470588235292</v>
      </c>
      <c r="AZ18">
        <f t="shared" ca="1" si="4"/>
        <v>0</v>
      </c>
      <c r="BA18">
        <f t="shared" ca="1" si="4"/>
        <v>0.35294117647058826</v>
      </c>
      <c r="BB18">
        <f t="shared" ca="1" si="4"/>
        <v>5.8823529411764705E-2</v>
      </c>
      <c r="BC18">
        <f t="shared" ca="1" si="4"/>
        <v>5.8823529411764705E-2</v>
      </c>
      <c r="BD18">
        <f t="shared" ca="1" si="4"/>
        <v>0.17647058823529413</v>
      </c>
      <c r="BE18">
        <f t="shared" ca="1" si="4"/>
        <v>5.8823529411764705E-2</v>
      </c>
      <c r="BF18">
        <f t="shared" ca="1" si="4"/>
        <v>0</v>
      </c>
      <c r="BG18">
        <f t="shared" ca="1" si="4"/>
        <v>0</v>
      </c>
      <c r="BH18">
        <f t="shared" ca="1" si="4"/>
        <v>0</v>
      </c>
      <c r="BI18">
        <f t="shared" ca="1" si="4"/>
        <v>0.47058823529411764</v>
      </c>
      <c r="BJ18">
        <f t="shared" ca="1" si="4"/>
        <v>0.6470588235294118</v>
      </c>
      <c r="BK18">
        <f t="shared" ca="1" si="4"/>
        <v>0.17647058823529413</v>
      </c>
      <c r="BL18">
        <f t="shared" ca="1" si="4"/>
        <v>0.17647058823529413</v>
      </c>
      <c r="BM18">
        <f t="shared" ca="1" si="4"/>
        <v>0.41176470588235292</v>
      </c>
      <c r="BN18">
        <f t="shared" ca="1" si="4"/>
        <v>5.8823529411764705E-2</v>
      </c>
      <c r="BO18">
        <f t="shared" ca="1" si="4"/>
        <v>0.11764705882352941</v>
      </c>
      <c r="BP18">
        <f t="shared" ca="1" si="4"/>
        <v>0.17647058823529413</v>
      </c>
      <c r="BQ18">
        <f t="shared" ca="1" si="4"/>
        <v>0.23529411764705882</v>
      </c>
      <c r="BR18">
        <f t="shared" ca="1" si="4"/>
        <v>0.29411764705882354</v>
      </c>
      <c r="BS18">
        <f t="shared" ca="1" si="4"/>
        <v>0</v>
      </c>
      <c r="BT18">
        <f t="shared" ca="1" si="4"/>
        <v>0</v>
      </c>
      <c r="BU18">
        <f t="shared" ca="1" si="4"/>
        <v>0</v>
      </c>
      <c r="BV18">
        <f t="shared" ca="1" si="4"/>
        <v>0</v>
      </c>
      <c r="BW18">
        <f t="shared" ca="1" si="4"/>
        <v>0</v>
      </c>
      <c r="BX18">
        <f t="shared" ca="1" si="4"/>
        <v>0.17647058823529413</v>
      </c>
      <c r="BY18">
        <f t="shared" ca="1" si="4"/>
        <v>0.11764705882352941</v>
      </c>
      <c r="BZ18">
        <f t="shared" ca="1" si="4"/>
        <v>0.11764705882352941</v>
      </c>
      <c r="CA18">
        <f t="shared" ca="1" si="4"/>
        <v>5.8823529411764705E-2</v>
      </c>
      <c r="CB18">
        <f t="shared" ca="1" si="4"/>
        <v>0.47058823529411764</v>
      </c>
      <c r="CC18">
        <f t="shared" ca="1" si="4"/>
        <v>0</v>
      </c>
      <c r="CD18">
        <f t="shared" ca="1" si="4"/>
        <v>0.17647058823529413</v>
      </c>
      <c r="CE18">
        <f t="shared" ca="1" si="4"/>
        <v>0.29411764705882354</v>
      </c>
      <c r="CF18">
        <f t="shared" ca="1" si="4"/>
        <v>5.8823529411764705E-2</v>
      </c>
      <c r="CG18">
        <f t="shared" ca="1" si="4"/>
        <v>0.11764705882352941</v>
      </c>
    </row>
    <row r="19" spans="6:85" hidden="1" x14ac:dyDescent="0.3">
      <c r="Q19" t="s">
        <v>197</v>
      </c>
      <c r="R19">
        <f t="shared" ca="1" si="2"/>
        <v>0.18181818181818182</v>
      </c>
      <c r="S19">
        <f t="shared" ca="1" si="2"/>
        <v>0</v>
      </c>
      <c r="T19">
        <f t="shared" ca="1" si="2"/>
        <v>0</v>
      </c>
      <c r="U19">
        <f t="shared" ca="1" si="2"/>
        <v>9.0909090909090912E-2</v>
      </c>
      <c r="V19">
        <f t="shared" ca="1" si="2"/>
        <v>9.0909090909090912E-2</v>
      </c>
      <c r="W19">
        <f t="shared" ca="1" si="2"/>
        <v>0.22727272727272727</v>
      </c>
      <c r="X19">
        <f t="shared" ca="1" si="2"/>
        <v>4.5454545454545456E-2</v>
      </c>
      <c r="Y19">
        <f t="shared" ca="1" si="2"/>
        <v>0.22727272727272727</v>
      </c>
      <c r="Z19">
        <f t="shared" ref="Z19:CG19" ca="1" si="5">IFERROR(AVERAGEIF($E$35:$E$143,VALUE(RIGHT($Q6,2)),Z$35:Z$143),0)</f>
        <v>0</v>
      </c>
      <c r="AA19">
        <f t="shared" ca="1" si="5"/>
        <v>0</v>
      </c>
      <c r="AB19">
        <f t="shared" ca="1" si="5"/>
        <v>0.13636363636363635</v>
      </c>
      <c r="AC19">
        <f t="shared" ca="1" si="5"/>
        <v>0</v>
      </c>
      <c r="AD19">
        <f t="shared" ca="1" si="5"/>
        <v>0</v>
      </c>
      <c r="AE19">
        <f t="shared" ca="1" si="5"/>
        <v>0</v>
      </c>
      <c r="AF19">
        <f t="shared" ca="1" si="5"/>
        <v>0.40909090909090912</v>
      </c>
      <c r="AG19">
        <f t="shared" ca="1" si="5"/>
        <v>0.31818181818181818</v>
      </c>
      <c r="AH19">
        <f t="shared" ca="1" si="5"/>
        <v>0.72727272727272729</v>
      </c>
      <c r="AI19">
        <f t="shared" ca="1" si="5"/>
        <v>0.27272727272727271</v>
      </c>
      <c r="AJ19">
        <f t="shared" ca="1" si="5"/>
        <v>0.36363636363636365</v>
      </c>
      <c r="AK19">
        <f t="shared" ca="1" si="5"/>
        <v>0.36363636363636365</v>
      </c>
      <c r="AL19">
        <f t="shared" ca="1" si="5"/>
        <v>0.40909090909090912</v>
      </c>
      <c r="AM19">
        <f t="shared" ca="1" si="5"/>
        <v>0.18181818181818182</v>
      </c>
      <c r="AN19">
        <f t="shared" ca="1" si="5"/>
        <v>0.18181818181818182</v>
      </c>
      <c r="AO19">
        <f t="shared" ca="1" si="5"/>
        <v>4.5454545454545456E-2</v>
      </c>
      <c r="AP19">
        <f t="shared" ca="1" si="5"/>
        <v>0.13636363636363635</v>
      </c>
      <c r="AQ19">
        <f t="shared" ca="1" si="5"/>
        <v>0</v>
      </c>
      <c r="AR19">
        <f t="shared" ca="1" si="5"/>
        <v>0.31818181818181818</v>
      </c>
      <c r="AS19">
        <f t="shared" ca="1" si="5"/>
        <v>0.68181818181818177</v>
      </c>
      <c r="AT19">
        <f t="shared" ca="1" si="5"/>
        <v>0.13636363636363635</v>
      </c>
      <c r="AU19">
        <f t="shared" ca="1" si="5"/>
        <v>4.5454545454545456E-2</v>
      </c>
      <c r="AV19">
        <f t="shared" ca="1" si="5"/>
        <v>0.45454545454545453</v>
      </c>
      <c r="AW19">
        <f t="shared" ca="1" si="5"/>
        <v>0.63636363636363635</v>
      </c>
      <c r="AX19">
        <f t="shared" ca="1" si="5"/>
        <v>9.0909090909090912E-2</v>
      </c>
      <c r="AY19">
        <f t="shared" ca="1" si="5"/>
        <v>4.5454545454545456E-2</v>
      </c>
      <c r="AZ19">
        <f t="shared" ca="1" si="5"/>
        <v>0</v>
      </c>
      <c r="BA19">
        <f t="shared" ca="1" si="5"/>
        <v>0.72727272727272729</v>
      </c>
      <c r="BB19">
        <f t="shared" ca="1" si="5"/>
        <v>0</v>
      </c>
      <c r="BC19">
        <f t="shared" ca="1" si="5"/>
        <v>4.5454545454545456E-2</v>
      </c>
      <c r="BD19">
        <f t="shared" ca="1" si="5"/>
        <v>0.18181818181818182</v>
      </c>
      <c r="BE19">
        <f t="shared" ca="1" si="5"/>
        <v>0.18181818181818182</v>
      </c>
      <c r="BF19">
        <f t="shared" ca="1" si="5"/>
        <v>4.5454545454545456E-2</v>
      </c>
      <c r="BG19">
        <f t="shared" ca="1" si="5"/>
        <v>0.54545454545454541</v>
      </c>
      <c r="BH19">
        <f t="shared" ca="1" si="5"/>
        <v>9.0909090909090912E-2</v>
      </c>
      <c r="BI19">
        <f t="shared" ca="1" si="5"/>
        <v>0.22727272727272727</v>
      </c>
      <c r="BJ19">
        <f t="shared" ca="1" si="5"/>
        <v>0.81818181818181823</v>
      </c>
      <c r="BK19">
        <f t="shared" ca="1" si="5"/>
        <v>0.18181818181818182</v>
      </c>
      <c r="BL19">
        <f t="shared" ca="1" si="5"/>
        <v>4.5454545454545456E-2</v>
      </c>
      <c r="BM19">
        <f t="shared" ca="1" si="5"/>
        <v>4.5454545454545456E-2</v>
      </c>
      <c r="BN19">
        <f t="shared" ca="1" si="5"/>
        <v>0.22727272727272727</v>
      </c>
      <c r="BO19">
        <f t="shared" ca="1" si="5"/>
        <v>0</v>
      </c>
      <c r="BP19">
        <f t="shared" ca="1" si="5"/>
        <v>0.59090909090909094</v>
      </c>
      <c r="BQ19">
        <f t="shared" ca="1" si="5"/>
        <v>0.22727272727272727</v>
      </c>
      <c r="BR19">
        <f t="shared" ca="1" si="5"/>
        <v>9.0909090909090912E-2</v>
      </c>
      <c r="BS19">
        <f t="shared" ca="1" si="5"/>
        <v>0.22727272727272727</v>
      </c>
      <c r="BT19">
        <f t="shared" ca="1" si="5"/>
        <v>4.5454545454545456E-2</v>
      </c>
      <c r="BU19">
        <f t="shared" ca="1" si="5"/>
        <v>4.5454545454545456E-2</v>
      </c>
      <c r="BV19">
        <f t="shared" ca="1" si="5"/>
        <v>4.5454545454545456E-2</v>
      </c>
      <c r="BW19">
        <f t="shared" ca="1" si="5"/>
        <v>9.0909090909090912E-2</v>
      </c>
      <c r="BX19">
        <f t="shared" ca="1" si="5"/>
        <v>0.18181818181818182</v>
      </c>
      <c r="BY19">
        <f t="shared" ca="1" si="5"/>
        <v>0.13636363636363635</v>
      </c>
      <c r="BZ19">
        <f t="shared" ca="1" si="5"/>
        <v>0.18181818181818182</v>
      </c>
      <c r="CA19">
        <f t="shared" ca="1" si="5"/>
        <v>0.13636363636363635</v>
      </c>
      <c r="CB19">
        <f t="shared" ca="1" si="5"/>
        <v>0</v>
      </c>
      <c r="CC19">
        <f t="shared" ca="1" si="5"/>
        <v>0.18181818181818182</v>
      </c>
      <c r="CD19">
        <f t="shared" ca="1" si="5"/>
        <v>9.0909090909090912E-2</v>
      </c>
      <c r="CE19">
        <f t="shared" ca="1" si="5"/>
        <v>0.22727272727272727</v>
      </c>
      <c r="CF19">
        <f t="shared" ca="1" si="5"/>
        <v>0</v>
      </c>
      <c r="CG19">
        <f t="shared" ca="1" si="5"/>
        <v>0</v>
      </c>
    </row>
    <row r="20" spans="6:85" hidden="1" x14ac:dyDescent="0.3">
      <c r="F20" s="2"/>
      <c r="Q20" t="s">
        <v>198</v>
      </c>
      <c r="R20">
        <f t="shared" ca="1" si="2"/>
        <v>0</v>
      </c>
      <c r="S20">
        <f t="shared" ca="1" si="2"/>
        <v>0</v>
      </c>
      <c r="T20">
        <f t="shared" ca="1" si="2"/>
        <v>0</v>
      </c>
      <c r="U20">
        <f t="shared" ca="1" si="2"/>
        <v>0</v>
      </c>
      <c r="V20">
        <f t="shared" ca="1" si="2"/>
        <v>0.05</v>
      </c>
      <c r="W20">
        <f t="shared" ca="1" si="2"/>
        <v>0.1</v>
      </c>
      <c r="X20">
        <f t="shared" ca="1" si="2"/>
        <v>0</v>
      </c>
      <c r="Y20">
        <f t="shared" ca="1" si="2"/>
        <v>0.15</v>
      </c>
      <c r="Z20">
        <f t="shared" ref="Z20:CG20" ca="1" si="6">IFERROR(AVERAGEIF($E$35:$E$143,VALUE(RIGHT($Q7,2)),Z$35:Z$143),0)</f>
        <v>0.05</v>
      </c>
      <c r="AA20">
        <f t="shared" ca="1" si="6"/>
        <v>0.05</v>
      </c>
      <c r="AB20">
        <f t="shared" ca="1" si="6"/>
        <v>0.35</v>
      </c>
      <c r="AC20">
        <f t="shared" ca="1" si="6"/>
        <v>0.15</v>
      </c>
      <c r="AD20">
        <f t="shared" ca="1" si="6"/>
        <v>0.1</v>
      </c>
      <c r="AE20">
        <f t="shared" ca="1" si="6"/>
        <v>0</v>
      </c>
      <c r="AF20">
        <f t="shared" ca="1" si="6"/>
        <v>0.25</v>
      </c>
      <c r="AG20">
        <f t="shared" ca="1" si="6"/>
        <v>0.2</v>
      </c>
      <c r="AH20">
        <f t="shared" ca="1" si="6"/>
        <v>0.6</v>
      </c>
      <c r="AI20">
        <f t="shared" ca="1" si="6"/>
        <v>0.05</v>
      </c>
      <c r="AJ20">
        <f t="shared" ca="1" si="6"/>
        <v>0</v>
      </c>
      <c r="AK20">
        <f t="shared" ca="1" si="6"/>
        <v>0.25</v>
      </c>
      <c r="AL20">
        <f t="shared" ca="1" si="6"/>
        <v>0.4</v>
      </c>
      <c r="AM20">
        <f t="shared" ca="1" si="6"/>
        <v>0.1</v>
      </c>
      <c r="AN20">
        <f t="shared" ca="1" si="6"/>
        <v>0.05</v>
      </c>
      <c r="AO20">
        <f t="shared" ca="1" si="6"/>
        <v>0.65</v>
      </c>
      <c r="AP20">
        <f t="shared" ca="1" si="6"/>
        <v>0</v>
      </c>
      <c r="AQ20">
        <f t="shared" ca="1" si="6"/>
        <v>0.5</v>
      </c>
      <c r="AR20">
        <f t="shared" ca="1" si="6"/>
        <v>0.15</v>
      </c>
      <c r="AS20">
        <f t="shared" ca="1" si="6"/>
        <v>0.7</v>
      </c>
      <c r="AT20">
        <f t="shared" ca="1" si="6"/>
        <v>0.65</v>
      </c>
      <c r="AU20">
        <f t="shared" ca="1" si="6"/>
        <v>0.1</v>
      </c>
      <c r="AV20">
        <f t="shared" ca="1" si="6"/>
        <v>0.5</v>
      </c>
      <c r="AW20">
        <f t="shared" ca="1" si="6"/>
        <v>0</v>
      </c>
      <c r="AX20">
        <f t="shared" ca="1" si="6"/>
        <v>0.1</v>
      </c>
      <c r="AY20">
        <f t="shared" ca="1" si="6"/>
        <v>0.1</v>
      </c>
      <c r="AZ20">
        <f t="shared" ca="1" si="6"/>
        <v>0.35</v>
      </c>
      <c r="BA20">
        <f t="shared" ca="1" si="6"/>
        <v>0.55000000000000004</v>
      </c>
      <c r="BB20">
        <f t="shared" ca="1" si="6"/>
        <v>0.3</v>
      </c>
      <c r="BC20">
        <f t="shared" ca="1" si="6"/>
        <v>0.15</v>
      </c>
      <c r="BD20">
        <f t="shared" ca="1" si="6"/>
        <v>0.05</v>
      </c>
      <c r="BE20">
        <f t="shared" ca="1" si="6"/>
        <v>0.1</v>
      </c>
      <c r="BF20">
        <f t="shared" ca="1" si="6"/>
        <v>0.05</v>
      </c>
      <c r="BG20">
        <f t="shared" ca="1" si="6"/>
        <v>0.4</v>
      </c>
      <c r="BH20">
        <f t="shared" ca="1" si="6"/>
        <v>0.15</v>
      </c>
      <c r="BI20">
        <f t="shared" ca="1" si="6"/>
        <v>0.3</v>
      </c>
      <c r="BJ20">
        <f t="shared" ca="1" si="6"/>
        <v>0.85</v>
      </c>
      <c r="BK20">
        <f t="shared" ca="1" si="6"/>
        <v>0.2</v>
      </c>
      <c r="BL20">
        <f t="shared" ca="1" si="6"/>
        <v>0.05</v>
      </c>
      <c r="BM20">
        <f t="shared" ca="1" si="6"/>
        <v>0.1</v>
      </c>
      <c r="BN20">
        <f t="shared" ca="1" si="6"/>
        <v>0.05</v>
      </c>
      <c r="BO20">
        <f t="shared" ca="1" si="6"/>
        <v>0</v>
      </c>
      <c r="BP20">
        <f t="shared" ca="1" si="6"/>
        <v>0.35</v>
      </c>
      <c r="BQ20">
        <f t="shared" ca="1" si="6"/>
        <v>0.1</v>
      </c>
      <c r="BR20">
        <f t="shared" ca="1" si="6"/>
        <v>0.15</v>
      </c>
      <c r="BS20">
        <f t="shared" ca="1" si="6"/>
        <v>0</v>
      </c>
      <c r="BT20">
        <f t="shared" ca="1" si="6"/>
        <v>0.25</v>
      </c>
      <c r="BU20">
        <f t="shared" ca="1" si="6"/>
        <v>0.1</v>
      </c>
      <c r="BV20">
        <f t="shared" ca="1" si="6"/>
        <v>0.15</v>
      </c>
      <c r="BW20">
        <f t="shared" ca="1" si="6"/>
        <v>0.15</v>
      </c>
      <c r="BX20">
        <f t="shared" ca="1" si="6"/>
        <v>0.15</v>
      </c>
      <c r="BY20">
        <f t="shared" ca="1" si="6"/>
        <v>0.1</v>
      </c>
      <c r="BZ20">
        <f t="shared" ca="1" si="6"/>
        <v>0.15</v>
      </c>
      <c r="CA20">
        <f t="shared" ca="1" si="6"/>
        <v>0.05</v>
      </c>
      <c r="CB20">
        <f t="shared" ca="1" si="6"/>
        <v>0</v>
      </c>
      <c r="CC20">
        <f t="shared" ca="1" si="6"/>
        <v>0</v>
      </c>
      <c r="CD20">
        <f t="shared" ca="1" si="6"/>
        <v>0.2</v>
      </c>
      <c r="CE20">
        <f t="shared" ca="1" si="6"/>
        <v>0.3</v>
      </c>
      <c r="CF20">
        <f t="shared" ca="1" si="6"/>
        <v>0</v>
      </c>
      <c r="CG20">
        <f t="shared" ca="1" si="6"/>
        <v>0.05</v>
      </c>
    </row>
    <row r="21" spans="6:85" hidden="1" x14ac:dyDescent="0.3">
      <c r="Q21" t="s">
        <v>199</v>
      </c>
      <c r="R21">
        <f t="shared" ca="1" si="2"/>
        <v>0</v>
      </c>
      <c r="S21">
        <f t="shared" ca="1" si="2"/>
        <v>0</v>
      </c>
      <c r="T21">
        <f t="shared" ca="1" si="2"/>
        <v>0</v>
      </c>
      <c r="U21">
        <f t="shared" ca="1" si="2"/>
        <v>0</v>
      </c>
      <c r="V21">
        <f t="shared" ca="1" si="2"/>
        <v>0</v>
      </c>
      <c r="W21">
        <f t="shared" ca="1" si="2"/>
        <v>0</v>
      </c>
      <c r="X21">
        <f t="shared" ca="1" si="2"/>
        <v>0</v>
      </c>
      <c r="Y21">
        <f t="shared" ca="1" si="2"/>
        <v>0</v>
      </c>
      <c r="Z21">
        <f t="shared" ref="Z21:CG21" ca="1" si="7">IFERROR(AVERAGEIF($E$35:$E$143,VALUE(RIGHT($Q8,2)),Z$35:Z$143),0)</f>
        <v>0</v>
      </c>
      <c r="AA21">
        <f t="shared" ca="1" si="7"/>
        <v>0</v>
      </c>
      <c r="AB21">
        <f t="shared" ca="1" si="7"/>
        <v>0</v>
      </c>
      <c r="AC21">
        <f t="shared" ca="1" si="7"/>
        <v>0</v>
      </c>
      <c r="AD21">
        <f t="shared" ca="1" si="7"/>
        <v>0</v>
      </c>
      <c r="AE21">
        <f t="shared" ca="1" si="7"/>
        <v>0</v>
      </c>
      <c r="AF21">
        <f t="shared" ca="1" si="7"/>
        <v>0</v>
      </c>
      <c r="AG21">
        <f t="shared" ca="1" si="7"/>
        <v>0</v>
      </c>
      <c r="AH21">
        <f t="shared" ca="1" si="7"/>
        <v>0</v>
      </c>
      <c r="AI21">
        <f t="shared" ca="1" si="7"/>
        <v>0</v>
      </c>
      <c r="AJ21">
        <f t="shared" ca="1" si="7"/>
        <v>0</v>
      </c>
      <c r="AK21">
        <f t="shared" ca="1" si="7"/>
        <v>0</v>
      </c>
      <c r="AL21">
        <f t="shared" ca="1" si="7"/>
        <v>0</v>
      </c>
      <c r="AM21">
        <f t="shared" ca="1" si="7"/>
        <v>0</v>
      </c>
      <c r="AN21">
        <f t="shared" ca="1" si="7"/>
        <v>0</v>
      </c>
      <c r="AO21">
        <f t="shared" ca="1" si="7"/>
        <v>0</v>
      </c>
      <c r="AP21">
        <f t="shared" ca="1" si="7"/>
        <v>0</v>
      </c>
      <c r="AQ21">
        <f t="shared" ca="1" si="7"/>
        <v>0</v>
      </c>
      <c r="AR21">
        <f t="shared" ca="1" si="7"/>
        <v>0</v>
      </c>
      <c r="AS21">
        <f t="shared" ca="1" si="7"/>
        <v>0</v>
      </c>
      <c r="AT21">
        <f t="shared" ca="1" si="7"/>
        <v>0</v>
      </c>
      <c r="AU21">
        <f t="shared" ca="1" si="7"/>
        <v>0</v>
      </c>
      <c r="AV21">
        <f t="shared" ca="1" si="7"/>
        <v>0</v>
      </c>
      <c r="AW21">
        <f t="shared" ca="1" si="7"/>
        <v>0</v>
      </c>
      <c r="AX21">
        <f t="shared" ca="1" si="7"/>
        <v>0</v>
      </c>
      <c r="AY21">
        <f t="shared" ca="1" si="7"/>
        <v>0</v>
      </c>
      <c r="AZ21">
        <f t="shared" ca="1" si="7"/>
        <v>0</v>
      </c>
      <c r="BA21">
        <f t="shared" ca="1" si="7"/>
        <v>0</v>
      </c>
      <c r="BB21">
        <f t="shared" ca="1" si="7"/>
        <v>0</v>
      </c>
      <c r="BC21">
        <f t="shared" ca="1" si="7"/>
        <v>0</v>
      </c>
      <c r="BD21">
        <f t="shared" ca="1" si="7"/>
        <v>0</v>
      </c>
      <c r="BE21">
        <f t="shared" ca="1" si="7"/>
        <v>0</v>
      </c>
      <c r="BF21">
        <f t="shared" ca="1" si="7"/>
        <v>0</v>
      </c>
      <c r="BG21">
        <f t="shared" ca="1" si="7"/>
        <v>0</v>
      </c>
      <c r="BH21">
        <f t="shared" ca="1" si="7"/>
        <v>0</v>
      </c>
      <c r="BI21">
        <f t="shared" ca="1" si="7"/>
        <v>0</v>
      </c>
      <c r="BJ21">
        <f t="shared" ca="1" si="7"/>
        <v>0</v>
      </c>
      <c r="BK21">
        <f t="shared" ca="1" si="7"/>
        <v>0</v>
      </c>
      <c r="BL21">
        <f t="shared" ca="1" si="7"/>
        <v>0</v>
      </c>
      <c r="BM21">
        <f t="shared" ca="1" si="7"/>
        <v>0</v>
      </c>
      <c r="BN21">
        <f t="shared" ca="1" si="7"/>
        <v>0</v>
      </c>
      <c r="BO21">
        <f t="shared" ca="1" si="7"/>
        <v>0</v>
      </c>
      <c r="BP21">
        <f t="shared" ca="1" si="7"/>
        <v>0</v>
      </c>
      <c r="BQ21">
        <f t="shared" ca="1" si="7"/>
        <v>0</v>
      </c>
      <c r="BR21">
        <f t="shared" ca="1" si="7"/>
        <v>0</v>
      </c>
      <c r="BS21">
        <f t="shared" ca="1" si="7"/>
        <v>0</v>
      </c>
      <c r="BT21">
        <f t="shared" ca="1" si="7"/>
        <v>0</v>
      </c>
      <c r="BU21">
        <f t="shared" ca="1" si="7"/>
        <v>0</v>
      </c>
      <c r="BV21">
        <f t="shared" ca="1" si="7"/>
        <v>0</v>
      </c>
      <c r="BW21">
        <f t="shared" ca="1" si="7"/>
        <v>0</v>
      </c>
      <c r="BX21">
        <f t="shared" ca="1" si="7"/>
        <v>0</v>
      </c>
      <c r="BY21">
        <f t="shared" ca="1" si="7"/>
        <v>0</v>
      </c>
      <c r="BZ21">
        <f t="shared" ca="1" si="7"/>
        <v>0</v>
      </c>
      <c r="CA21">
        <f t="shared" ca="1" si="7"/>
        <v>0</v>
      </c>
      <c r="CB21">
        <f t="shared" ca="1" si="7"/>
        <v>0</v>
      </c>
      <c r="CC21">
        <f t="shared" ca="1" si="7"/>
        <v>0</v>
      </c>
      <c r="CD21">
        <f t="shared" ca="1" si="7"/>
        <v>0</v>
      </c>
      <c r="CE21">
        <f t="shared" ca="1" si="7"/>
        <v>0</v>
      </c>
      <c r="CF21">
        <f t="shared" ca="1" si="7"/>
        <v>0</v>
      </c>
      <c r="CG21">
        <f t="shared" ca="1" si="7"/>
        <v>0</v>
      </c>
    </row>
    <row r="22" spans="6:85" hidden="1" x14ac:dyDescent="0.3">
      <c r="F22" s="5"/>
      <c r="G22" s="5"/>
      <c r="H22" s="15"/>
      <c r="I22" s="15"/>
      <c r="J22" s="15"/>
      <c r="K22" s="15"/>
      <c r="L22" s="15"/>
      <c r="M22" s="15"/>
      <c r="N22" s="15"/>
      <c r="O22" s="5"/>
      <c r="Q22" t="s">
        <v>200</v>
      </c>
      <c r="R22">
        <f t="shared" ca="1" si="2"/>
        <v>0</v>
      </c>
      <c r="S22">
        <f t="shared" ca="1" si="2"/>
        <v>0</v>
      </c>
      <c r="T22">
        <f t="shared" ca="1" si="2"/>
        <v>0</v>
      </c>
      <c r="U22">
        <f t="shared" ca="1" si="2"/>
        <v>0</v>
      </c>
      <c r="V22">
        <f t="shared" ca="1" si="2"/>
        <v>0</v>
      </c>
      <c r="W22">
        <f t="shared" ca="1" si="2"/>
        <v>0</v>
      </c>
      <c r="X22">
        <f t="shared" ca="1" si="2"/>
        <v>0</v>
      </c>
      <c r="Y22">
        <f t="shared" ca="1" si="2"/>
        <v>0</v>
      </c>
      <c r="Z22">
        <f t="shared" ref="Z22:CG22" ca="1" si="8">IFERROR(AVERAGEIF($E$35:$E$143,VALUE(RIGHT($Q9,2)),Z$35:Z$143),0)</f>
        <v>0</v>
      </c>
      <c r="AA22">
        <f t="shared" ca="1" si="8"/>
        <v>0</v>
      </c>
      <c r="AB22">
        <f t="shared" ca="1" si="8"/>
        <v>0</v>
      </c>
      <c r="AC22">
        <f t="shared" ca="1" si="8"/>
        <v>0</v>
      </c>
      <c r="AD22">
        <f t="shared" ca="1" si="8"/>
        <v>0</v>
      </c>
      <c r="AE22">
        <f t="shared" ca="1" si="8"/>
        <v>0</v>
      </c>
      <c r="AF22">
        <f t="shared" ca="1" si="8"/>
        <v>0</v>
      </c>
      <c r="AG22">
        <f t="shared" ca="1" si="8"/>
        <v>0</v>
      </c>
      <c r="AH22">
        <f t="shared" ca="1" si="8"/>
        <v>0</v>
      </c>
      <c r="AI22">
        <f t="shared" ca="1" si="8"/>
        <v>0</v>
      </c>
      <c r="AJ22">
        <f t="shared" ca="1" si="8"/>
        <v>0</v>
      </c>
      <c r="AK22">
        <f t="shared" ca="1" si="8"/>
        <v>0</v>
      </c>
      <c r="AL22">
        <f t="shared" ca="1" si="8"/>
        <v>0</v>
      </c>
      <c r="AM22">
        <f t="shared" ca="1" si="8"/>
        <v>0</v>
      </c>
      <c r="AN22">
        <f t="shared" ca="1" si="8"/>
        <v>0</v>
      </c>
      <c r="AO22">
        <f t="shared" ca="1" si="8"/>
        <v>0</v>
      </c>
      <c r="AP22">
        <f t="shared" ca="1" si="8"/>
        <v>0</v>
      </c>
      <c r="AQ22">
        <f t="shared" ca="1" si="8"/>
        <v>0</v>
      </c>
      <c r="AR22">
        <f t="shared" ca="1" si="8"/>
        <v>0</v>
      </c>
      <c r="AS22">
        <f t="shared" ca="1" si="8"/>
        <v>0</v>
      </c>
      <c r="AT22">
        <f t="shared" ca="1" si="8"/>
        <v>0</v>
      </c>
      <c r="AU22">
        <f t="shared" ca="1" si="8"/>
        <v>0</v>
      </c>
      <c r="AV22">
        <f t="shared" ca="1" si="8"/>
        <v>0</v>
      </c>
      <c r="AW22">
        <f t="shared" ca="1" si="8"/>
        <v>0</v>
      </c>
      <c r="AX22">
        <f t="shared" ca="1" si="8"/>
        <v>0</v>
      </c>
      <c r="AY22">
        <f t="shared" ca="1" si="8"/>
        <v>0</v>
      </c>
      <c r="AZ22">
        <f t="shared" ca="1" si="8"/>
        <v>0</v>
      </c>
      <c r="BA22">
        <f t="shared" ca="1" si="8"/>
        <v>0</v>
      </c>
      <c r="BB22">
        <f t="shared" ca="1" si="8"/>
        <v>0</v>
      </c>
      <c r="BC22">
        <f t="shared" ca="1" si="8"/>
        <v>0</v>
      </c>
      <c r="BD22">
        <f t="shared" ca="1" si="8"/>
        <v>0</v>
      </c>
      <c r="BE22">
        <f t="shared" ca="1" si="8"/>
        <v>0</v>
      </c>
      <c r="BF22">
        <f t="shared" ca="1" si="8"/>
        <v>0</v>
      </c>
      <c r="BG22">
        <f t="shared" ca="1" si="8"/>
        <v>0</v>
      </c>
      <c r="BH22">
        <f t="shared" ca="1" si="8"/>
        <v>0</v>
      </c>
      <c r="BI22">
        <f t="shared" ca="1" si="8"/>
        <v>0</v>
      </c>
      <c r="BJ22">
        <f t="shared" ca="1" si="8"/>
        <v>0</v>
      </c>
      <c r="BK22">
        <f t="shared" ca="1" si="8"/>
        <v>0</v>
      </c>
      <c r="BL22">
        <f t="shared" ca="1" si="8"/>
        <v>0</v>
      </c>
      <c r="BM22">
        <f t="shared" ca="1" si="8"/>
        <v>0</v>
      </c>
      <c r="BN22">
        <f t="shared" ca="1" si="8"/>
        <v>0</v>
      </c>
      <c r="BO22">
        <f t="shared" ca="1" si="8"/>
        <v>0</v>
      </c>
      <c r="BP22">
        <f t="shared" ca="1" si="8"/>
        <v>0</v>
      </c>
      <c r="BQ22">
        <f t="shared" ca="1" si="8"/>
        <v>0</v>
      </c>
      <c r="BR22">
        <f t="shared" ca="1" si="8"/>
        <v>0</v>
      </c>
      <c r="BS22">
        <f t="shared" ca="1" si="8"/>
        <v>0</v>
      </c>
      <c r="BT22">
        <f t="shared" ca="1" si="8"/>
        <v>0</v>
      </c>
      <c r="BU22">
        <f t="shared" ca="1" si="8"/>
        <v>0</v>
      </c>
      <c r="BV22">
        <f t="shared" ca="1" si="8"/>
        <v>0</v>
      </c>
      <c r="BW22">
        <f t="shared" ca="1" si="8"/>
        <v>0</v>
      </c>
      <c r="BX22">
        <f t="shared" ca="1" si="8"/>
        <v>0</v>
      </c>
      <c r="BY22">
        <f t="shared" ca="1" si="8"/>
        <v>0</v>
      </c>
      <c r="BZ22">
        <f t="shared" ca="1" si="8"/>
        <v>0</v>
      </c>
      <c r="CA22">
        <f t="shared" ca="1" si="8"/>
        <v>0</v>
      </c>
      <c r="CB22">
        <f t="shared" ca="1" si="8"/>
        <v>0</v>
      </c>
      <c r="CC22">
        <f t="shared" ca="1" si="8"/>
        <v>0</v>
      </c>
      <c r="CD22">
        <f t="shared" ca="1" si="8"/>
        <v>0</v>
      </c>
      <c r="CE22">
        <f t="shared" ca="1" si="8"/>
        <v>0</v>
      </c>
      <c r="CF22">
        <f t="shared" ca="1" si="8"/>
        <v>0</v>
      </c>
      <c r="CG22">
        <f t="shared" ca="1" si="8"/>
        <v>0</v>
      </c>
    </row>
    <row r="23" spans="6:85" hidden="1" x14ac:dyDescent="0.3">
      <c r="F23" s="5"/>
      <c r="G23" s="5"/>
      <c r="H23" s="15"/>
      <c r="I23" s="15"/>
      <c r="J23" s="15"/>
      <c r="K23" s="15"/>
      <c r="L23" s="15"/>
      <c r="M23" s="15"/>
      <c r="N23" s="15"/>
      <c r="O23" s="5"/>
      <c r="Q23" t="s">
        <v>201</v>
      </c>
      <c r="R23">
        <f t="shared" ca="1" si="2"/>
        <v>0</v>
      </c>
      <c r="S23">
        <f t="shared" ca="1" si="2"/>
        <v>0</v>
      </c>
      <c r="T23">
        <f t="shared" ca="1" si="2"/>
        <v>0</v>
      </c>
      <c r="U23">
        <f t="shared" ca="1" si="2"/>
        <v>0</v>
      </c>
      <c r="V23">
        <f t="shared" ca="1" si="2"/>
        <v>0</v>
      </c>
      <c r="W23">
        <f t="shared" ca="1" si="2"/>
        <v>0</v>
      </c>
      <c r="X23">
        <f t="shared" ca="1" si="2"/>
        <v>0</v>
      </c>
      <c r="Y23">
        <f t="shared" ca="1" si="2"/>
        <v>0</v>
      </c>
      <c r="Z23">
        <f t="shared" ref="Z23:CG23" ca="1" si="9">IFERROR(AVERAGEIF($E$35:$E$143,VALUE(RIGHT($Q10,2)),Z$35:Z$143),0)</f>
        <v>0</v>
      </c>
      <c r="AA23">
        <f t="shared" ca="1" si="9"/>
        <v>0</v>
      </c>
      <c r="AB23">
        <f t="shared" ca="1" si="9"/>
        <v>0</v>
      </c>
      <c r="AC23">
        <f t="shared" ca="1" si="9"/>
        <v>0</v>
      </c>
      <c r="AD23">
        <f t="shared" ca="1" si="9"/>
        <v>0</v>
      </c>
      <c r="AE23">
        <f t="shared" ca="1" si="9"/>
        <v>0</v>
      </c>
      <c r="AF23">
        <f t="shared" ca="1" si="9"/>
        <v>0</v>
      </c>
      <c r="AG23">
        <f t="shared" ca="1" si="9"/>
        <v>0</v>
      </c>
      <c r="AH23">
        <f t="shared" ca="1" si="9"/>
        <v>0</v>
      </c>
      <c r="AI23">
        <f t="shared" ca="1" si="9"/>
        <v>0</v>
      </c>
      <c r="AJ23">
        <f t="shared" ca="1" si="9"/>
        <v>0</v>
      </c>
      <c r="AK23">
        <f t="shared" ca="1" si="9"/>
        <v>0</v>
      </c>
      <c r="AL23">
        <f t="shared" ca="1" si="9"/>
        <v>0</v>
      </c>
      <c r="AM23">
        <f t="shared" ca="1" si="9"/>
        <v>0</v>
      </c>
      <c r="AN23">
        <f t="shared" ca="1" si="9"/>
        <v>0</v>
      </c>
      <c r="AO23">
        <f t="shared" ca="1" si="9"/>
        <v>0</v>
      </c>
      <c r="AP23">
        <f t="shared" ca="1" si="9"/>
        <v>0</v>
      </c>
      <c r="AQ23">
        <f t="shared" ca="1" si="9"/>
        <v>0</v>
      </c>
      <c r="AR23">
        <f t="shared" ca="1" si="9"/>
        <v>0</v>
      </c>
      <c r="AS23">
        <f t="shared" ca="1" si="9"/>
        <v>0</v>
      </c>
      <c r="AT23">
        <f t="shared" ca="1" si="9"/>
        <v>0</v>
      </c>
      <c r="AU23">
        <f t="shared" ca="1" si="9"/>
        <v>0</v>
      </c>
      <c r="AV23">
        <f t="shared" ca="1" si="9"/>
        <v>0</v>
      </c>
      <c r="AW23">
        <f t="shared" ca="1" si="9"/>
        <v>0</v>
      </c>
      <c r="AX23">
        <f t="shared" ca="1" si="9"/>
        <v>0</v>
      </c>
      <c r="AY23">
        <f t="shared" ca="1" si="9"/>
        <v>0</v>
      </c>
      <c r="AZ23">
        <f t="shared" ca="1" si="9"/>
        <v>0</v>
      </c>
      <c r="BA23">
        <f t="shared" ca="1" si="9"/>
        <v>0</v>
      </c>
      <c r="BB23">
        <f t="shared" ca="1" si="9"/>
        <v>0</v>
      </c>
      <c r="BC23">
        <f t="shared" ca="1" si="9"/>
        <v>0</v>
      </c>
      <c r="BD23">
        <f t="shared" ca="1" si="9"/>
        <v>0</v>
      </c>
      <c r="BE23">
        <f t="shared" ca="1" si="9"/>
        <v>0</v>
      </c>
      <c r="BF23">
        <f t="shared" ca="1" si="9"/>
        <v>0</v>
      </c>
      <c r="BG23">
        <f t="shared" ca="1" si="9"/>
        <v>0</v>
      </c>
      <c r="BH23">
        <f t="shared" ca="1" si="9"/>
        <v>0</v>
      </c>
      <c r="BI23">
        <f t="shared" ca="1" si="9"/>
        <v>0</v>
      </c>
      <c r="BJ23">
        <f t="shared" ca="1" si="9"/>
        <v>0</v>
      </c>
      <c r="BK23">
        <f t="shared" ca="1" si="9"/>
        <v>0</v>
      </c>
      <c r="BL23">
        <f t="shared" ca="1" si="9"/>
        <v>0</v>
      </c>
      <c r="BM23">
        <f t="shared" ca="1" si="9"/>
        <v>0</v>
      </c>
      <c r="BN23">
        <f t="shared" ca="1" si="9"/>
        <v>0</v>
      </c>
      <c r="BO23">
        <f t="shared" ca="1" si="9"/>
        <v>0</v>
      </c>
      <c r="BP23">
        <f t="shared" ca="1" si="9"/>
        <v>0</v>
      </c>
      <c r="BQ23">
        <f t="shared" ca="1" si="9"/>
        <v>0</v>
      </c>
      <c r="BR23">
        <f t="shared" ca="1" si="9"/>
        <v>0</v>
      </c>
      <c r="BS23">
        <f t="shared" ca="1" si="9"/>
        <v>0</v>
      </c>
      <c r="BT23">
        <f t="shared" ca="1" si="9"/>
        <v>0</v>
      </c>
      <c r="BU23">
        <f t="shared" ca="1" si="9"/>
        <v>0</v>
      </c>
      <c r="BV23">
        <f t="shared" ca="1" si="9"/>
        <v>0</v>
      </c>
      <c r="BW23">
        <f t="shared" ca="1" si="9"/>
        <v>0</v>
      </c>
      <c r="BX23">
        <f t="shared" ca="1" si="9"/>
        <v>0</v>
      </c>
      <c r="BY23">
        <f t="shared" ca="1" si="9"/>
        <v>0</v>
      </c>
      <c r="BZ23">
        <f t="shared" ca="1" si="9"/>
        <v>0</v>
      </c>
      <c r="CA23">
        <f t="shared" ca="1" si="9"/>
        <v>0</v>
      </c>
      <c r="CB23">
        <f t="shared" ca="1" si="9"/>
        <v>0</v>
      </c>
      <c r="CC23">
        <f t="shared" ca="1" si="9"/>
        <v>0</v>
      </c>
      <c r="CD23">
        <f t="shared" ca="1" si="9"/>
        <v>0</v>
      </c>
      <c r="CE23">
        <f t="shared" ca="1" si="9"/>
        <v>0</v>
      </c>
      <c r="CF23">
        <f t="shared" ca="1" si="9"/>
        <v>0</v>
      </c>
      <c r="CG23">
        <f t="shared" ca="1" si="9"/>
        <v>0</v>
      </c>
    </row>
    <row r="24" spans="6:85" hidden="1" x14ac:dyDescent="0.3">
      <c r="F24" s="5"/>
      <c r="G24" s="5"/>
      <c r="H24" s="15"/>
      <c r="I24" s="15"/>
      <c r="J24" s="15"/>
      <c r="K24" s="15"/>
      <c r="L24" s="15"/>
      <c r="M24" s="15"/>
      <c r="N24" s="15"/>
      <c r="O24" s="5"/>
      <c r="Q24" t="s">
        <v>202</v>
      </c>
      <c r="R24">
        <f t="shared" ca="1" si="2"/>
        <v>0</v>
      </c>
      <c r="S24">
        <f t="shared" ca="1" si="2"/>
        <v>0</v>
      </c>
      <c r="T24">
        <f t="shared" ca="1" si="2"/>
        <v>0</v>
      </c>
      <c r="U24">
        <f t="shared" ca="1" si="2"/>
        <v>0</v>
      </c>
      <c r="V24">
        <f t="shared" ca="1" si="2"/>
        <v>0</v>
      </c>
      <c r="W24">
        <f t="shared" ca="1" si="2"/>
        <v>0</v>
      </c>
      <c r="X24">
        <f t="shared" ca="1" si="2"/>
        <v>0</v>
      </c>
      <c r="Y24">
        <f t="shared" ca="1" si="2"/>
        <v>0</v>
      </c>
      <c r="Z24">
        <f t="shared" ref="Z24:CG24" ca="1" si="10">IFERROR(AVERAGEIF($E$35:$E$143,VALUE(RIGHT($Q11,2)),Z$35:Z$143),0)</f>
        <v>0</v>
      </c>
      <c r="AA24">
        <f t="shared" ca="1" si="10"/>
        <v>0</v>
      </c>
      <c r="AB24">
        <f t="shared" ca="1" si="10"/>
        <v>0</v>
      </c>
      <c r="AC24">
        <f t="shared" ca="1" si="10"/>
        <v>0</v>
      </c>
      <c r="AD24">
        <f t="shared" ca="1" si="10"/>
        <v>0</v>
      </c>
      <c r="AE24">
        <f t="shared" ca="1" si="10"/>
        <v>0</v>
      </c>
      <c r="AF24">
        <f t="shared" ca="1" si="10"/>
        <v>0</v>
      </c>
      <c r="AG24">
        <f t="shared" ca="1" si="10"/>
        <v>0</v>
      </c>
      <c r="AH24">
        <f t="shared" ca="1" si="10"/>
        <v>0</v>
      </c>
      <c r="AI24">
        <f t="shared" ca="1" si="10"/>
        <v>0</v>
      </c>
      <c r="AJ24">
        <f t="shared" ca="1" si="10"/>
        <v>0</v>
      </c>
      <c r="AK24">
        <f t="shared" ca="1" si="10"/>
        <v>0</v>
      </c>
      <c r="AL24">
        <f t="shared" ca="1" si="10"/>
        <v>0</v>
      </c>
      <c r="AM24">
        <f t="shared" ca="1" si="10"/>
        <v>0</v>
      </c>
      <c r="AN24">
        <f t="shared" ca="1" si="10"/>
        <v>0</v>
      </c>
      <c r="AO24">
        <f t="shared" ca="1" si="10"/>
        <v>0</v>
      </c>
      <c r="AP24">
        <f t="shared" ca="1" si="10"/>
        <v>0</v>
      </c>
      <c r="AQ24">
        <f t="shared" ca="1" si="10"/>
        <v>0</v>
      </c>
      <c r="AR24">
        <f t="shared" ca="1" si="10"/>
        <v>0</v>
      </c>
      <c r="AS24">
        <f t="shared" ca="1" si="10"/>
        <v>0</v>
      </c>
      <c r="AT24">
        <f t="shared" ca="1" si="10"/>
        <v>0</v>
      </c>
      <c r="AU24">
        <f t="shared" ca="1" si="10"/>
        <v>0</v>
      </c>
      <c r="AV24">
        <f t="shared" ca="1" si="10"/>
        <v>0</v>
      </c>
      <c r="AW24">
        <f t="shared" ca="1" si="10"/>
        <v>0</v>
      </c>
      <c r="AX24">
        <f t="shared" ca="1" si="10"/>
        <v>0</v>
      </c>
      <c r="AY24">
        <f t="shared" ca="1" si="10"/>
        <v>0</v>
      </c>
      <c r="AZ24">
        <f t="shared" ca="1" si="10"/>
        <v>0</v>
      </c>
      <c r="BA24">
        <f t="shared" ca="1" si="10"/>
        <v>0</v>
      </c>
      <c r="BB24">
        <f t="shared" ca="1" si="10"/>
        <v>0</v>
      </c>
      <c r="BC24">
        <f t="shared" ca="1" si="10"/>
        <v>0</v>
      </c>
      <c r="BD24">
        <f t="shared" ca="1" si="10"/>
        <v>0</v>
      </c>
      <c r="BE24">
        <f t="shared" ca="1" si="10"/>
        <v>0</v>
      </c>
      <c r="BF24">
        <f t="shared" ca="1" si="10"/>
        <v>0</v>
      </c>
      <c r="BG24">
        <f t="shared" ca="1" si="10"/>
        <v>0</v>
      </c>
      <c r="BH24">
        <f t="shared" ca="1" si="10"/>
        <v>0</v>
      </c>
      <c r="BI24">
        <f t="shared" ca="1" si="10"/>
        <v>0</v>
      </c>
      <c r="BJ24">
        <f t="shared" ca="1" si="10"/>
        <v>0</v>
      </c>
      <c r="BK24">
        <f t="shared" ca="1" si="10"/>
        <v>0</v>
      </c>
      <c r="BL24">
        <f t="shared" ca="1" si="10"/>
        <v>0</v>
      </c>
      <c r="BM24">
        <f t="shared" ca="1" si="10"/>
        <v>0</v>
      </c>
      <c r="BN24">
        <f t="shared" ca="1" si="10"/>
        <v>0</v>
      </c>
      <c r="BO24">
        <f t="shared" ca="1" si="10"/>
        <v>0</v>
      </c>
      <c r="BP24">
        <f t="shared" ca="1" si="10"/>
        <v>0</v>
      </c>
      <c r="BQ24">
        <f t="shared" ca="1" si="10"/>
        <v>0</v>
      </c>
      <c r="BR24">
        <f t="shared" ca="1" si="10"/>
        <v>0</v>
      </c>
      <c r="BS24">
        <f t="shared" ca="1" si="10"/>
        <v>0</v>
      </c>
      <c r="BT24">
        <f t="shared" ca="1" si="10"/>
        <v>0</v>
      </c>
      <c r="BU24">
        <f t="shared" ca="1" si="10"/>
        <v>0</v>
      </c>
      <c r="BV24">
        <f t="shared" ca="1" si="10"/>
        <v>0</v>
      </c>
      <c r="BW24">
        <f t="shared" ca="1" si="10"/>
        <v>0</v>
      </c>
      <c r="BX24">
        <f t="shared" ca="1" si="10"/>
        <v>0</v>
      </c>
      <c r="BY24">
        <f t="shared" ca="1" si="10"/>
        <v>0</v>
      </c>
      <c r="BZ24">
        <f t="shared" ca="1" si="10"/>
        <v>0</v>
      </c>
      <c r="CA24">
        <f t="shared" ca="1" si="10"/>
        <v>0</v>
      </c>
      <c r="CB24">
        <f t="shared" ca="1" si="10"/>
        <v>0</v>
      </c>
      <c r="CC24">
        <f t="shared" ca="1" si="10"/>
        <v>0</v>
      </c>
      <c r="CD24">
        <f t="shared" ca="1" si="10"/>
        <v>0</v>
      </c>
      <c r="CE24">
        <f t="shared" ca="1" si="10"/>
        <v>0</v>
      </c>
      <c r="CF24">
        <f t="shared" ca="1" si="10"/>
        <v>0</v>
      </c>
      <c r="CG24">
        <f t="shared" ca="1" si="10"/>
        <v>0</v>
      </c>
    </row>
    <row r="25" spans="6:85" hidden="1" x14ac:dyDescent="0.3">
      <c r="F25" s="5"/>
      <c r="G25" s="5"/>
      <c r="H25" s="15"/>
      <c r="I25" s="15"/>
      <c r="J25" s="15"/>
      <c r="K25" s="15"/>
      <c r="L25" s="15"/>
      <c r="M25" s="15"/>
      <c r="N25" s="15"/>
      <c r="O25" s="5"/>
      <c r="Q25" t="s">
        <v>203</v>
      </c>
      <c r="R25">
        <f t="shared" ca="1" si="2"/>
        <v>0</v>
      </c>
      <c r="S25">
        <f t="shared" ca="1" si="2"/>
        <v>0</v>
      </c>
      <c r="T25">
        <f t="shared" ca="1" si="2"/>
        <v>0</v>
      </c>
      <c r="U25">
        <f t="shared" ca="1" si="2"/>
        <v>0</v>
      </c>
      <c r="V25">
        <f t="shared" ca="1" si="2"/>
        <v>0</v>
      </c>
      <c r="W25">
        <f t="shared" ca="1" si="2"/>
        <v>0</v>
      </c>
      <c r="X25">
        <f t="shared" ca="1" si="2"/>
        <v>0</v>
      </c>
      <c r="Y25">
        <f t="shared" ca="1" si="2"/>
        <v>0</v>
      </c>
      <c r="Z25">
        <f t="shared" ref="Z25:CG25" ca="1" si="11">IFERROR(AVERAGEIF($E$35:$E$143,VALUE(RIGHT($Q12,2)),Z$35:Z$143),0)</f>
        <v>0</v>
      </c>
      <c r="AA25">
        <f t="shared" ca="1" si="11"/>
        <v>0</v>
      </c>
      <c r="AB25">
        <f t="shared" ca="1" si="11"/>
        <v>0</v>
      </c>
      <c r="AC25">
        <f t="shared" ca="1" si="11"/>
        <v>0</v>
      </c>
      <c r="AD25">
        <f t="shared" ca="1" si="11"/>
        <v>0</v>
      </c>
      <c r="AE25">
        <f t="shared" ca="1" si="11"/>
        <v>0</v>
      </c>
      <c r="AF25">
        <f t="shared" ca="1" si="11"/>
        <v>0</v>
      </c>
      <c r="AG25">
        <f t="shared" ca="1" si="11"/>
        <v>0</v>
      </c>
      <c r="AH25">
        <f t="shared" ca="1" si="11"/>
        <v>0</v>
      </c>
      <c r="AI25">
        <f t="shared" ca="1" si="11"/>
        <v>0</v>
      </c>
      <c r="AJ25">
        <f t="shared" ca="1" si="11"/>
        <v>0</v>
      </c>
      <c r="AK25">
        <f t="shared" ca="1" si="11"/>
        <v>0</v>
      </c>
      <c r="AL25">
        <f t="shared" ca="1" si="11"/>
        <v>0</v>
      </c>
      <c r="AM25">
        <f t="shared" ca="1" si="11"/>
        <v>0</v>
      </c>
      <c r="AN25">
        <f t="shared" ca="1" si="11"/>
        <v>0</v>
      </c>
      <c r="AO25">
        <f t="shared" ca="1" si="11"/>
        <v>0</v>
      </c>
      <c r="AP25">
        <f t="shared" ca="1" si="11"/>
        <v>0</v>
      </c>
      <c r="AQ25">
        <f t="shared" ca="1" si="11"/>
        <v>0</v>
      </c>
      <c r="AR25">
        <f t="shared" ca="1" si="11"/>
        <v>0</v>
      </c>
      <c r="AS25">
        <f t="shared" ca="1" si="11"/>
        <v>0</v>
      </c>
      <c r="AT25">
        <f t="shared" ca="1" si="11"/>
        <v>0</v>
      </c>
      <c r="AU25">
        <f t="shared" ca="1" si="11"/>
        <v>0</v>
      </c>
      <c r="AV25">
        <f t="shared" ca="1" si="11"/>
        <v>0</v>
      </c>
      <c r="AW25">
        <f t="shared" ca="1" si="11"/>
        <v>0</v>
      </c>
      <c r="AX25">
        <f t="shared" ca="1" si="11"/>
        <v>0</v>
      </c>
      <c r="AY25">
        <f t="shared" ca="1" si="11"/>
        <v>0</v>
      </c>
      <c r="AZ25">
        <f t="shared" ca="1" si="11"/>
        <v>0</v>
      </c>
      <c r="BA25">
        <f t="shared" ca="1" si="11"/>
        <v>0</v>
      </c>
      <c r="BB25">
        <f t="shared" ca="1" si="11"/>
        <v>0</v>
      </c>
      <c r="BC25">
        <f t="shared" ca="1" si="11"/>
        <v>0</v>
      </c>
      <c r="BD25">
        <f t="shared" ca="1" si="11"/>
        <v>0</v>
      </c>
      <c r="BE25">
        <f t="shared" ca="1" si="11"/>
        <v>0</v>
      </c>
      <c r="BF25">
        <f t="shared" ca="1" si="11"/>
        <v>0</v>
      </c>
      <c r="BG25">
        <f t="shared" ca="1" si="11"/>
        <v>0</v>
      </c>
      <c r="BH25">
        <f t="shared" ca="1" si="11"/>
        <v>0</v>
      </c>
      <c r="BI25">
        <f t="shared" ca="1" si="11"/>
        <v>0</v>
      </c>
      <c r="BJ25">
        <f t="shared" ca="1" si="11"/>
        <v>0</v>
      </c>
      <c r="BK25">
        <f t="shared" ca="1" si="11"/>
        <v>0</v>
      </c>
      <c r="BL25">
        <f t="shared" ca="1" si="11"/>
        <v>0</v>
      </c>
      <c r="BM25">
        <f t="shared" ca="1" si="11"/>
        <v>0</v>
      </c>
      <c r="BN25">
        <f t="shared" ca="1" si="11"/>
        <v>0</v>
      </c>
      <c r="BO25">
        <f t="shared" ca="1" si="11"/>
        <v>0</v>
      </c>
      <c r="BP25">
        <f t="shared" ca="1" si="11"/>
        <v>0</v>
      </c>
      <c r="BQ25">
        <f t="shared" ca="1" si="11"/>
        <v>0</v>
      </c>
      <c r="BR25">
        <f t="shared" ca="1" si="11"/>
        <v>0</v>
      </c>
      <c r="BS25">
        <f t="shared" ca="1" si="11"/>
        <v>0</v>
      </c>
      <c r="BT25">
        <f t="shared" ca="1" si="11"/>
        <v>0</v>
      </c>
      <c r="BU25">
        <f t="shared" ca="1" si="11"/>
        <v>0</v>
      </c>
      <c r="BV25">
        <f t="shared" ca="1" si="11"/>
        <v>0</v>
      </c>
      <c r="BW25">
        <f t="shared" ca="1" si="11"/>
        <v>0</v>
      </c>
      <c r="BX25">
        <f t="shared" ca="1" si="11"/>
        <v>0</v>
      </c>
      <c r="BY25">
        <f t="shared" ca="1" si="11"/>
        <v>0</v>
      </c>
      <c r="BZ25">
        <f t="shared" ca="1" si="11"/>
        <v>0</v>
      </c>
      <c r="CA25">
        <f t="shared" ca="1" si="11"/>
        <v>0</v>
      </c>
      <c r="CB25">
        <f t="shared" ca="1" si="11"/>
        <v>0</v>
      </c>
      <c r="CC25">
        <f t="shared" ca="1" si="11"/>
        <v>0</v>
      </c>
      <c r="CD25">
        <f t="shared" ca="1" si="11"/>
        <v>0</v>
      </c>
      <c r="CE25">
        <f t="shared" ca="1" si="11"/>
        <v>0</v>
      </c>
      <c r="CF25">
        <f t="shared" ca="1" si="11"/>
        <v>0</v>
      </c>
      <c r="CG25">
        <f t="shared" ca="1" si="11"/>
        <v>0</v>
      </c>
    </row>
    <row r="26" spans="6:85" hidden="1" x14ac:dyDescent="0.3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6:85" x14ac:dyDescent="0.3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6:85" x14ac:dyDescent="0.3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6" t="s">
        <v>188</v>
      </c>
      <c r="R28" s="7" t="s">
        <v>204</v>
      </c>
      <c r="S28" s="7" t="s">
        <v>205</v>
      </c>
      <c r="T28" s="7" t="s">
        <v>206</v>
      </c>
      <c r="U28" s="7" t="s">
        <v>207</v>
      </c>
      <c r="V28" s="7" t="s">
        <v>208</v>
      </c>
      <c r="W28" s="7" t="s">
        <v>209</v>
      </c>
      <c r="X28" s="7" t="s">
        <v>210</v>
      </c>
      <c r="Y28" s="7" t="s">
        <v>211</v>
      </c>
      <c r="Z28" s="7" t="s">
        <v>212</v>
      </c>
      <c r="AA28" s="7" t="s">
        <v>213</v>
      </c>
      <c r="AB28" s="7" t="s">
        <v>219</v>
      </c>
    </row>
    <row r="29" spans="6:85" x14ac:dyDescent="0.3">
      <c r="F29" s="15"/>
      <c r="G29" s="15"/>
      <c r="H29" s="15"/>
      <c r="I29" s="15"/>
      <c r="J29" s="15"/>
      <c r="K29" s="15"/>
      <c r="L29" s="15"/>
      <c r="O29" s="15"/>
      <c r="P29" s="15"/>
      <c r="Q29" s="18" t="s">
        <v>214</v>
      </c>
      <c r="R29" s="6">
        <f t="shared" ref="R29:AA29" ca="1" si="12">COUNTIF(newClusters,VALUE(RIGHT(R28,2)))</f>
        <v>24</v>
      </c>
      <c r="S29" s="6">
        <f t="shared" ca="1" si="12"/>
        <v>26</v>
      </c>
      <c r="T29" s="6">
        <f t="shared" ca="1" si="12"/>
        <v>17</v>
      </c>
      <c r="U29" s="6">
        <f t="shared" ca="1" si="12"/>
        <v>22</v>
      </c>
      <c r="V29" s="6">
        <f t="shared" ca="1" si="12"/>
        <v>20</v>
      </c>
      <c r="W29" s="6">
        <f t="shared" ca="1" si="12"/>
        <v>0</v>
      </c>
      <c r="X29" s="6">
        <f t="shared" ca="1" si="12"/>
        <v>0</v>
      </c>
      <c r="Y29" s="6">
        <f t="shared" ca="1" si="12"/>
        <v>0</v>
      </c>
      <c r="Z29" s="6">
        <f t="shared" ca="1" si="12"/>
        <v>0</v>
      </c>
      <c r="AA29" s="6">
        <f t="shared" ca="1" si="12"/>
        <v>0</v>
      </c>
      <c r="AB29" s="19">
        <f ca="1">SUM(R29:AA29)</f>
        <v>109</v>
      </c>
    </row>
    <row r="30" spans="6:85" x14ac:dyDescent="0.3">
      <c r="F30" s="15"/>
      <c r="G30" s="15"/>
      <c r="H30" s="15"/>
      <c r="I30" s="15"/>
      <c r="J30" s="15"/>
      <c r="K30" s="15"/>
      <c r="L30" s="15"/>
      <c r="O30" s="15"/>
      <c r="P30" s="15"/>
      <c r="R30" s="1" t="s">
        <v>215</v>
      </c>
      <c r="V30" s="1" t="s">
        <v>216</v>
      </c>
    </row>
    <row r="31" spans="6:85" x14ac:dyDescent="0.3">
      <c r="F31" s="15"/>
      <c r="G31" s="15"/>
      <c r="H31" s="15"/>
      <c r="I31" s="15"/>
      <c r="J31" s="15"/>
      <c r="K31" s="15"/>
      <c r="L31" s="15"/>
      <c r="O31" s="15"/>
      <c r="P31" s="15"/>
      <c r="R31" s="17">
        <v>5</v>
      </c>
      <c r="V31" s="17" t="s">
        <v>220</v>
      </c>
    </row>
    <row r="32" spans="6:85" x14ac:dyDescent="0.3">
      <c r="F32" s="5"/>
      <c r="G32" s="5"/>
      <c r="H32" s="15"/>
      <c r="I32" s="15"/>
      <c r="J32" s="15"/>
      <c r="K32" s="15"/>
      <c r="L32" s="15"/>
      <c r="M32" s="15"/>
      <c r="N32" s="15"/>
      <c r="O32" s="5"/>
      <c r="P32" s="5"/>
      <c r="U32" s="20" t="s">
        <v>217</v>
      </c>
      <c r="V32" s="20"/>
      <c r="W32" s="20"/>
    </row>
    <row r="33" spans="2:86" x14ac:dyDescent="0.3">
      <c r="D33" s="22" t="s">
        <v>181</v>
      </c>
      <c r="E33" s="24"/>
      <c r="F33" s="22" t="s">
        <v>189</v>
      </c>
      <c r="G33" s="23"/>
      <c r="H33" s="23"/>
      <c r="I33" s="23"/>
      <c r="J33" s="23"/>
      <c r="K33" s="23"/>
      <c r="L33" s="23"/>
      <c r="M33" s="23"/>
      <c r="N33" s="23"/>
      <c r="O33" s="24"/>
      <c r="P33" s="5"/>
      <c r="U33" s="21" t="s">
        <v>218</v>
      </c>
      <c r="V33" s="21"/>
      <c r="W33" s="21"/>
    </row>
    <row r="34" spans="2:86" x14ac:dyDescent="0.3">
      <c r="B34" s="7" t="s">
        <v>183</v>
      </c>
      <c r="C34" s="13"/>
      <c r="D34" s="7" t="s">
        <v>182</v>
      </c>
      <c r="E34" s="7" t="s">
        <v>221</v>
      </c>
      <c r="F34" s="7" t="s">
        <v>180</v>
      </c>
      <c r="G34" s="7" t="s">
        <v>179</v>
      </c>
      <c r="H34" s="7" t="s">
        <v>178</v>
      </c>
      <c r="I34" s="7" t="s">
        <v>190</v>
      </c>
      <c r="J34" s="7" t="s">
        <v>191</v>
      </c>
      <c r="K34" s="7" t="s">
        <v>192</v>
      </c>
      <c r="L34" s="7" t="s">
        <v>193</v>
      </c>
      <c r="M34" s="7" t="s">
        <v>194</v>
      </c>
      <c r="N34" s="7" t="s">
        <v>195</v>
      </c>
      <c r="O34" s="7" t="s">
        <v>196</v>
      </c>
      <c r="P34" s="2"/>
      <c r="Q34" s="7" t="s">
        <v>177</v>
      </c>
      <c r="R34" s="7" t="s">
        <v>176</v>
      </c>
      <c r="S34" s="7" t="s">
        <v>175</v>
      </c>
      <c r="T34" s="7" t="s">
        <v>174</v>
      </c>
      <c r="U34" s="7" t="s">
        <v>173</v>
      </c>
      <c r="V34" s="7" t="s">
        <v>172</v>
      </c>
      <c r="W34" s="7" t="s">
        <v>171</v>
      </c>
      <c r="X34" s="7" t="s">
        <v>170</v>
      </c>
      <c r="Y34" s="7" t="s">
        <v>169</v>
      </c>
      <c r="Z34" s="7" t="s">
        <v>168</v>
      </c>
      <c r="AA34" s="7" t="s">
        <v>167</v>
      </c>
      <c r="AB34" s="7" t="s">
        <v>166</v>
      </c>
      <c r="AC34" s="7" t="s">
        <v>165</v>
      </c>
      <c r="AD34" s="7" t="s">
        <v>164</v>
      </c>
      <c r="AE34" s="7" t="s">
        <v>163</v>
      </c>
      <c r="AF34" s="7" t="s">
        <v>162</v>
      </c>
      <c r="AG34" s="7" t="s">
        <v>161</v>
      </c>
      <c r="AH34" s="7" t="s">
        <v>160</v>
      </c>
      <c r="AI34" s="7" t="s">
        <v>159</v>
      </c>
      <c r="AJ34" s="7" t="s">
        <v>158</v>
      </c>
      <c r="AK34" s="7" t="s">
        <v>157</v>
      </c>
      <c r="AL34" s="7" t="s">
        <v>156</v>
      </c>
      <c r="AM34" s="7" t="s">
        <v>155</v>
      </c>
      <c r="AN34" s="7" t="s">
        <v>154</v>
      </c>
      <c r="AO34" s="7" t="s">
        <v>153</v>
      </c>
      <c r="AP34" s="7" t="s">
        <v>152</v>
      </c>
      <c r="AQ34" s="7" t="s">
        <v>151</v>
      </c>
      <c r="AR34" s="7" t="s">
        <v>150</v>
      </c>
      <c r="AS34" s="7" t="s">
        <v>149</v>
      </c>
      <c r="AT34" s="7" t="s">
        <v>148</v>
      </c>
      <c r="AU34" s="7" t="s">
        <v>147</v>
      </c>
      <c r="AV34" s="7" t="s">
        <v>146</v>
      </c>
      <c r="AW34" s="7" t="s">
        <v>145</v>
      </c>
      <c r="AX34" s="7" t="s">
        <v>144</v>
      </c>
      <c r="AY34" s="7" t="s">
        <v>143</v>
      </c>
      <c r="AZ34" s="7" t="s">
        <v>142</v>
      </c>
      <c r="BA34" s="7" t="s">
        <v>141</v>
      </c>
      <c r="BB34" s="7" t="s">
        <v>140</v>
      </c>
      <c r="BC34" s="7" t="s">
        <v>139</v>
      </c>
      <c r="BD34" s="7" t="s">
        <v>138</v>
      </c>
      <c r="BE34" s="7" t="s">
        <v>137</v>
      </c>
      <c r="BF34" s="7" t="s">
        <v>136</v>
      </c>
      <c r="BG34" s="7" t="s">
        <v>135</v>
      </c>
      <c r="BH34" s="7" t="s">
        <v>134</v>
      </c>
      <c r="BI34" s="7" t="s">
        <v>133</v>
      </c>
      <c r="BJ34" s="7" t="s">
        <v>132</v>
      </c>
      <c r="BK34" s="7" t="s">
        <v>131</v>
      </c>
      <c r="BL34" s="7" t="s">
        <v>130</v>
      </c>
      <c r="BM34" s="7" t="s">
        <v>129</v>
      </c>
      <c r="BN34" s="7" t="s">
        <v>128</v>
      </c>
      <c r="BO34" s="7" t="s">
        <v>127</v>
      </c>
      <c r="BP34" s="7" t="s">
        <v>126</v>
      </c>
      <c r="BQ34" s="7" t="s">
        <v>125</v>
      </c>
      <c r="BR34" s="7" t="s">
        <v>124</v>
      </c>
      <c r="BS34" s="7" t="s">
        <v>123</v>
      </c>
      <c r="BT34" s="7" t="s">
        <v>122</v>
      </c>
      <c r="BU34" s="7" t="s">
        <v>121</v>
      </c>
      <c r="BV34" s="7" t="s">
        <v>120</v>
      </c>
      <c r="BW34" s="7" t="s">
        <v>119</v>
      </c>
      <c r="BX34" s="7" t="s">
        <v>118</v>
      </c>
      <c r="BY34" s="7" t="s">
        <v>117</v>
      </c>
      <c r="BZ34" s="7" t="s">
        <v>116</v>
      </c>
      <c r="CA34" s="7" t="s">
        <v>115</v>
      </c>
      <c r="CB34" s="7" t="s">
        <v>114</v>
      </c>
      <c r="CC34" s="7" t="s">
        <v>113</v>
      </c>
      <c r="CD34" s="7" t="s">
        <v>112</v>
      </c>
      <c r="CE34" s="7" t="s">
        <v>111</v>
      </c>
      <c r="CF34" s="7" t="s">
        <v>110</v>
      </c>
      <c r="CG34" s="7" t="s">
        <v>109</v>
      </c>
      <c r="CH34" s="7" t="s">
        <v>181</v>
      </c>
    </row>
    <row r="35" spans="2:86" x14ac:dyDescent="0.3">
      <c r="B35" s="14" t="b">
        <f t="array" ref="B35" ca="1">SUM((prevClusters&lt;&gt;newClusters)*1)=0</f>
        <v>0</v>
      </c>
      <c r="C35" s="1"/>
      <c r="D35" s="11">
        <v>1</v>
      </c>
      <c r="E35" s="11">
        <f t="shared" ref="E35:E66" ca="1" si="13">MATCH(MIN(F35:O35),F35:O35,0)</f>
        <v>1</v>
      </c>
      <c r="F35" s="10">
        <f t="array" aca="1" ref="F35" ca="1">IF(SUM(OFFSET(Factors,VALUE(RIGHT(F$34,2)),1,1,68))=0,"None",SQRT(SUM((OFFSET(Factors,VALUE(RIGHT(F$34,2)),1,1,68)-$R35:$CG35)^2)))</f>
        <v>2.9822973061420655</v>
      </c>
      <c r="G35" s="10">
        <f t="array" aca="1" ref="G35" ca="1">IF(SUM(OFFSET(Factors,VALUE(RIGHT(G$34,2)),1,1,68))=0,"None",SQRT(SUM((OFFSET(Factors,VALUE(RIGHT(G$34,2)),1,1,68)-$R35:$CG35)^2)))</f>
        <v>3.4581179681521577</v>
      </c>
      <c r="H35" s="10">
        <f t="array" aca="1" ref="H35" ca="1">IF(SUM(OFFSET(Factors,VALUE(RIGHT(H$34,2)),1,1,68))=0,"None",SQRT(SUM((OFFSET(Factors,VALUE(RIGHT(H$34,2)),1,1,68)-$R35:$CG35)^2)))</f>
        <v>3.4879922542055519</v>
      </c>
      <c r="I35" s="10">
        <f t="array" aca="1" ref="I35" ca="1">IF(SUM(OFFSET(Factors,VALUE(RIGHT(I$34,2)),1,1,68))=0,"None",SQRT(SUM((OFFSET(Factors,VALUE(RIGHT(I$34,2)),1,1,68)-$R35:$CG35)^2)))</f>
        <v>3.3405225503042058</v>
      </c>
      <c r="J35" s="10">
        <f t="array" aca="1" ref="J35" ca="1">IF(SUM(OFFSET(Factors,VALUE(RIGHT(J$34,2)),1,1,68))=0,"None",SQRT(SUM((OFFSET(Factors,VALUE(RIGHT(J$34,2)),1,1,68)-$R35:$CG35)^2)))</f>
        <v>3.3834154341434335</v>
      </c>
      <c r="K35" s="10" t="str">
        <f t="array" aca="1" ref="K35" ca="1">IF(SUM(OFFSET(Factors,VALUE(RIGHT(K$34,2)),1,1,68))=0,"None",SQRT(SUM((OFFSET(Factors,VALUE(RIGHT(K$34,2)),1,1,68)-$R35:$CG35)^2)))</f>
        <v>None</v>
      </c>
      <c r="L35" s="10" t="str">
        <f t="array" aca="1" ref="L35" ca="1">IF(SUM(OFFSET(Factors,VALUE(RIGHT(L$34,2)),1,1,68))=0,"None",SQRT(SUM((OFFSET(Factors,VALUE(RIGHT(L$34,2)),1,1,68)-$R35:$CG35)^2)))</f>
        <v>None</v>
      </c>
      <c r="M35" s="10" t="str">
        <f t="array" aca="1" ref="M35" ca="1">IF(SUM(OFFSET(Factors,VALUE(RIGHT(M$34,2)),1,1,68))=0,"None",SQRT(SUM((OFFSET(Factors,VALUE(RIGHT(M$34,2)),1,1,68)-$R35:$CG35)^2)))</f>
        <v>None</v>
      </c>
      <c r="N35" s="10" t="str">
        <f t="array" aca="1" ref="N35" ca="1">IF(SUM(OFFSET(Factors,VALUE(RIGHT(N$34,2)),1,1,68))=0,"None",SQRT(SUM((OFFSET(Factors,VALUE(RIGHT(N$34,2)),1,1,68)-$R35:$CG35)^2)))</f>
        <v>None</v>
      </c>
      <c r="O35" s="10" t="str">
        <f t="array" aca="1" ref="O35" ca="1">IF(SUM(OFFSET(Factors,VALUE(RIGHT(O$34,2)),1,1,68))=0,"None",SQRT(SUM((OFFSET(Factors,VALUE(RIGHT(O$34,2)),1,1,68)-$R35:$CG35)^2)))</f>
        <v>None</v>
      </c>
      <c r="Q35" s="8" t="s">
        <v>108</v>
      </c>
      <c r="R35" s="9">
        <v>0</v>
      </c>
      <c r="S35" s="9">
        <v>1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>
        <v>0</v>
      </c>
      <c r="AE35" s="9">
        <v>0</v>
      </c>
      <c r="AF35" s="9">
        <v>1</v>
      </c>
      <c r="AG35" s="9">
        <v>1</v>
      </c>
      <c r="AH35" s="9">
        <v>0</v>
      </c>
      <c r="AI35" s="9">
        <v>0</v>
      </c>
      <c r="AJ35" s="9">
        <v>0</v>
      </c>
      <c r="AK35" s="9">
        <v>0</v>
      </c>
      <c r="AL35" s="9">
        <v>1</v>
      </c>
      <c r="AM35" s="9">
        <v>0</v>
      </c>
      <c r="AN35" s="9">
        <v>0</v>
      </c>
      <c r="AO35" s="9">
        <v>0</v>
      </c>
      <c r="AP35" s="9">
        <v>0</v>
      </c>
      <c r="AQ35" s="9">
        <v>0</v>
      </c>
      <c r="AR35" s="9">
        <v>1</v>
      </c>
      <c r="AS35" s="9">
        <v>1</v>
      </c>
      <c r="AT35" s="9">
        <v>0</v>
      </c>
      <c r="AU35" s="9">
        <v>0</v>
      </c>
      <c r="AV35" s="9">
        <v>0</v>
      </c>
      <c r="AW35" s="9">
        <v>0</v>
      </c>
      <c r="AX35" s="9">
        <v>0</v>
      </c>
      <c r="AY35" s="9">
        <v>0</v>
      </c>
      <c r="AZ35" s="9">
        <v>0</v>
      </c>
      <c r="BA35" s="9">
        <v>0</v>
      </c>
      <c r="BB35" s="9">
        <v>1</v>
      </c>
      <c r="BC35" s="9">
        <v>0</v>
      </c>
      <c r="BD35" s="9">
        <v>0</v>
      </c>
      <c r="BE35" s="9">
        <v>0</v>
      </c>
      <c r="BF35" s="9">
        <v>0</v>
      </c>
      <c r="BG35" s="9">
        <v>0</v>
      </c>
      <c r="BH35" s="9">
        <v>0</v>
      </c>
      <c r="BI35" s="9">
        <v>0</v>
      </c>
      <c r="BJ35" s="9">
        <v>0</v>
      </c>
      <c r="BK35" s="9">
        <v>0</v>
      </c>
      <c r="BL35" s="9">
        <v>1</v>
      </c>
      <c r="BM35" s="9">
        <v>0</v>
      </c>
      <c r="BN35" s="9">
        <v>0</v>
      </c>
      <c r="BO35" s="9">
        <v>1</v>
      </c>
      <c r="BP35" s="9">
        <v>1</v>
      </c>
      <c r="BQ35" s="9">
        <v>0</v>
      </c>
      <c r="BR35" s="9">
        <v>0</v>
      </c>
      <c r="BS35" s="9">
        <v>0</v>
      </c>
      <c r="BT35" s="9">
        <v>0</v>
      </c>
      <c r="BU35" s="9">
        <v>0</v>
      </c>
      <c r="BV35" s="9">
        <v>1</v>
      </c>
      <c r="BW35" s="9">
        <v>0</v>
      </c>
      <c r="BX35" s="9">
        <v>0</v>
      </c>
      <c r="BY35" s="9">
        <v>0</v>
      </c>
      <c r="BZ35" s="9">
        <v>1</v>
      </c>
      <c r="CA35" s="9">
        <v>0</v>
      </c>
      <c r="CB35" s="9">
        <v>0</v>
      </c>
      <c r="CC35" s="9">
        <v>0</v>
      </c>
      <c r="CD35" s="9">
        <v>0</v>
      </c>
      <c r="CE35" s="9">
        <v>0</v>
      </c>
      <c r="CF35" s="9">
        <v>0</v>
      </c>
      <c r="CG35" s="9">
        <v>0</v>
      </c>
      <c r="CH35" s="9">
        <f ca="1">E35</f>
        <v>1</v>
      </c>
    </row>
    <row r="36" spans="2:86" x14ac:dyDescent="0.3">
      <c r="B36" s="1"/>
      <c r="C36" s="1"/>
      <c r="D36" s="11">
        <v>5</v>
      </c>
      <c r="E36" s="11">
        <f t="shared" ca="1" si="13"/>
        <v>1</v>
      </c>
      <c r="F36" s="10">
        <f t="array" aca="1" ref="F36" ca="1">IF(SUM(OFFSET(Factors,VALUE(RIGHT(F$34,2)),1,1,68))=0,"None",SQRT(SUM((OFFSET(Factors,VALUE(RIGHT(F$34,2)),1,1,68)-$R36:$CG36)^2)))</f>
        <v>2.2496141644488481</v>
      </c>
      <c r="G36" s="10">
        <f t="array" aca="1" ref="G36" ca="1">IF(SUM(OFFSET(Factors,VALUE(RIGHT(G$34,2)),1,1,68))=0,"None",SQRT(SUM((OFFSET(Factors,VALUE(RIGHT(G$34,2)),1,1,68)-$R36:$CG36)^2)))</f>
        <v>2.8617038827289658</v>
      </c>
      <c r="H36" s="10">
        <f t="array" aca="1" ref="H36" ca="1">IF(SUM(OFFSET(Factors,VALUE(RIGHT(H$34,2)),1,1,68))=0,"None",SQRT(SUM((OFFSET(Factors,VALUE(RIGHT(H$34,2)),1,1,68)-$R36:$CG36)^2)))</f>
        <v>2.7846589125987355</v>
      </c>
      <c r="I36" s="10">
        <f t="array" aca="1" ref="I36" ca="1">IF(SUM(OFFSET(Factors,VALUE(RIGHT(I$34,2)),1,1,68))=0,"None",SQRT(SUM((OFFSET(Factors,VALUE(RIGHT(I$34,2)),1,1,68)-$R36:$CG36)^2)))</f>
        <v>2.8722813232690143</v>
      </c>
      <c r="J36" s="10">
        <f t="array" aca="1" ref="J36" ca="1">IF(SUM(OFFSET(Factors,VALUE(RIGHT(J$34,2)),1,1,68))=0,"None",SQRT(SUM((OFFSET(Factors,VALUE(RIGHT(J$34,2)),1,1,68)-$R36:$CG36)^2)))</f>
        <v>2.8892040426387324</v>
      </c>
      <c r="K36" s="10" t="str">
        <f t="array" aca="1" ref="K36" ca="1">IF(SUM(OFFSET(Factors,VALUE(RIGHT(K$34,2)),1,1,68))=0,"None",SQRT(SUM((OFFSET(Factors,VALUE(RIGHT(K$34,2)),1,1,68)-$R36:$CG36)^2)))</f>
        <v>None</v>
      </c>
      <c r="L36" s="10" t="str">
        <f t="array" aca="1" ref="L36" ca="1">IF(SUM(OFFSET(Factors,VALUE(RIGHT(L$34,2)),1,1,68))=0,"None",SQRT(SUM((OFFSET(Factors,VALUE(RIGHT(L$34,2)),1,1,68)-$R36:$CG36)^2)))</f>
        <v>None</v>
      </c>
      <c r="M36" s="10" t="str">
        <f t="array" aca="1" ref="M36" ca="1">IF(SUM(OFFSET(Factors,VALUE(RIGHT(M$34,2)),1,1,68))=0,"None",SQRT(SUM((OFFSET(Factors,VALUE(RIGHT(M$34,2)),1,1,68)-$R36:$CG36)^2)))</f>
        <v>None</v>
      </c>
      <c r="N36" s="10" t="str">
        <f t="array" aca="1" ref="N36" ca="1">IF(SUM(OFFSET(Factors,VALUE(RIGHT(N$34,2)),1,1,68))=0,"None",SQRT(SUM((OFFSET(Factors,VALUE(RIGHT(N$34,2)),1,1,68)-$R36:$CG36)^2)))</f>
        <v>None</v>
      </c>
      <c r="O36" s="10" t="str">
        <f t="array" aca="1" ref="O36" ca="1">IF(SUM(OFFSET(Factors,VALUE(RIGHT(O$34,2)),1,1,68))=0,"None",SQRT(SUM((OFFSET(Factors,VALUE(RIGHT(O$34,2)),1,1,68)-$R36:$CG36)^2)))</f>
        <v>None</v>
      </c>
      <c r="Q36" s="10" t="s">
        <v>99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1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1</v>
      </c>
      <c r="AG36" s="11">
        <v>1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1</v>
      </c>
      <c r="AT36" s="11">
        <v>0</v>
      </c>
      <c r="AU36" s="11">
        <v>0</v>
      </c>
      <c r="AV36" s="11">
        <v>0</v>
      </c>
      <c r="AW36" s="11">
        <v>0</v>
      </c>
      <c r="AX36" s="11">
        <v>0</v>
      </c>
      <c r="AY36" s="11">
        <v>0</v>
      </c>
      <c r="AZ36" s="11">
        <v>0</v>
      </c>
      <c r="BA36" s="11">
        <v>0</v>
      </c>
      <c r="BB36" s="11">
        <v>0</v>
      </c>
      <c r="BC36" s="11">
        <v>0</v>
      </c>
      <c r="BD36" s="11">
        <v>0</v>
      </c>
      <c r="BE36" s="11">
        <v>0</v>
      </c>
      <c r="BF36" s="11">
        <v>1</v>
      </c>
      <c r="BG36" s="11">
        <v>0</v>
      </c>
      <c r="BH36" s="11">
        <v>0</v>
      </c>
      <c r="BI36" s="11">
        <v>1</v>
      </c>
      <c r="BJ36" s="11">
        <v>1</v>
      </c>
      <c r="BK36" s="11">
        <v>0</v>
      </c>
      <c r="BL36" s="11">
        <v>0</v>
      </c>
      <c r="BM36" s="11">
        <v>0</v>
      </c>
      <c r="BN36" s="11">
        <v>0</v>
      </c>
      <c r="BO36" s="11">
        <v>0</v>
      </c>
      <c r="BP36" s="11">
        <v>0</v>
      </c>
      <c r="BQ36" s="11">
        <v>0</v>
      </c>
      <c r="BR36" s="11">
        <v>0</v>
      </c>
      <c r="BS36" s="11">
        <v>0</v>
      </c>
      <c r="BT36" s="11">
        <v>0</v>
      </c>
      <c r="BU36" s="11">
        <v>1</v>
      </c>
      <c r="BV36" s="11">
        <v>0</v>
      </c>
      <c r="BW36" s="11">
        <v>0</v>
      </c>
      <c r="BX36" s="11">
        <v>0</v>
      </c>
      <c r="BY36" s="11">
        <v>0</v>
      </c>
      <c r="BZ36" s="11">
        <v>1</v>
      </c>
      <c r="CA36" s="11">
        <v>0</v>
      </c>
      <c r="CB36" s="11">
        <v>0</v>
      </c>
      <c r="CC36" s="11">
        <v>0</v>
      </c>
      <c r="CD36" s="11">
        <v>0</v>
      </c>
      <c r="CE36" s="11">
        <v>0</v>
      </c>
      <c r="CF36" s="11">
        <v>0</v>
      </c>
      <c r="CG36" s="11">
        <v>0</v>
      </c>
      <c r="CH36" s="11">
        <f ca="1">E36</f>
        <v>1</v>
      </c>
    </row>
    <row r="37" spans="2:86" x14ac:dyDescent="0.3">
      <c r="B37" s="1"/>
      <c r="C37" s="13"/>
      <c r="D37" s="11">
        <v>3</v>
      </c>
      <c r="E37" s="11">
        <f t="shared" ca="1" si="13"/>
        <v>1</v>
      </c>
      <c r="F37" s="10">
        <f t="array" aca="1" ref="F37" ca="1">IF(SUM(OFFSET(Factors,VALUE(RIGHT(F$34,2)),1,1,68))=0,"None",SQRT(SUM((OFFSET(Factors,VALUE(RIGHT(F$34,2)),1,1,68)-$R37:$CG37)^2)))</f>
        <v>2.8096436112472025</v>
      </c>
      <c r="G37" s="10">
        <f t="array" aca="1" ref="G37" ca="1">IF(SUM(OFFSET(Factors,VALUE(RIGHT(G$34,2)),1,1,68))=0,"None",SQRT(SUM((OFFSET(Factors,VALUE(RIGHT(G$34,2)),1,1,68)-$R37:$CG37)^2)))</f>
        <v>3.2041023999474665</v>
      </c>
      <c r="H37" s="10">
        <f t="array" aca="1" ref="H37" ca="1">IF(SUM(OFFSET(Factors,VALUE(RIGHT(H$34,2)),1,1,68))=0,"None",SQRT(SUM((OFFSET(Factors,VALUE(RIGHT(H$34,2)),1,1,68)-$R37:$CG37)^2)))</f>
        <v>3.1325945778104347</v>
      </c>
      <c r="I37" s="10">
        <f t="array" aca="1" ref="I37" ca="1">IF(SUM(OFFSET(Factors,VALUE(RIGHT(I$34,2)),1,1,68))=0,"None",SQRT(SUM((OFFSET(Factors,VALUE(RIGHT(I$34,2)),1,1,68)-$R37:$CG37)^2)))</f>
        <v>3.1152119437600803</v>
      </c>
      <c r="J37" s="10">
        <f t="array" aca="1" ref="J37" ca="1">IF(SUM(OFFSET(Factors,VALUE(RIGHT(J$34,2)),1,1,68))=0,"None",SQRT(SUM((OFFSET(Factors,VALUE(RIGHT(J$34,2)),1,1,68)-$R37:$CG37)^2)))</f>
        <v>3.0573681492420897</v>
      </c>
      <c r="K37" s="10" t="str">
        <f t="array" aca="1" ref="K37" ca="1">IF(SUM(OFFSET(Factors,VALUE(RIGHT(K$34,2)),1,1,68))=0,"None",SQRT(SUM((OFFSET(Factors,VALUE(RIGHT(K$34,2)),1,1,68)-$R37:$CG37)^2)))</f>
        <v>None</v>
      </c>
      <c r="L37" s="10" t="str">
        <f t="array" aca="1" ref="L37" ca="1">IF(SUM(OFFSET(Factors,VALUE(RIGHT(L$34,2)),1,1,68))=0,"None",SQRT(SUM((OFFSET(Factors,VALUE(RIGHT(L$34,2)),1,1,68)-$R37:$CG37)^2)))</f>
        <v>None</v>
      </c>
      <c r="M37" s="10" t="str">
        <f t="array" aca="1" ref="M37" ca="1">IF(SUM(OFFSET(Factors,VALUE(RIGHT(M$34,2)),1,1,68))=0,"None",SQRT(SUM((OFFSET(Factors,VALUE(RIGHT(M$34,2)),1,1,68)-$R37:$CG37)^2)))</f>
        <v>None</v>
      </c>
      <c r="N37" s="10" t="str">
        <f t="array" aca="1" ref="N37" ca="1">IF(SUM(OFFSET(Factors,VALUE(RIGHT(N$34,2)),1,1,68))=0,"None",SQRT(SUM((OFFSET(Factors,VALUE(RIGHT(N$34,2)),1,1,68)-$R37:$CG37)^2)))</f>
        <v>None</v>
      </c>
      <c r="O37" s="10" t="str">
        <f t="array" aca="1" ref="O37" ca="1">IF(SUM(OFFSET(Factors,VALUE(RIGHT(O$34,2)),1,1,68))=0,"None",SQRT(SUM((OFFSET(Factors,VALUE(RIGHT(O$34,2)),1,1,68)-$R37:$CG37)^2)))</f>
        <v>None</v>
      </c>
      <c r="Q37" s="10" t="s">
        <v>96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1</v>
      </c>
      <c r="AC37" s="11">
        <v>0</v>
      </c>
      <c r="AD37" s="11">
        <v>0</v>
      </c>
      <c r="AE37" s="11">
        <v>0</v>
      </c>
      <c r="AF37" s="11">
        <v>1</v>
      </c>
      <c r="AG37" s="11">
        <v>1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1</v>
      </c>
      <c r="AT37" s="11">
        <v>0</v>
      </c>
      <c r="AU37" s="11">
        <v>1</v>
      </c>
      <c r="AV37" s="11">
        <v>1</v>
      </c>
      <c r="AW37" s="11">
        <v>0</v>
      </c>
      <c r="AX37" s="11">
        <v>1</v>
      </c>
      <c r="AY37" s="11">
        <v>0</v>
      </c>
      <c r="AZ37" s="11">
        <v>1</v>
      </c>
      <c r="BA37" s="11">
        <v>1</v>
      </c>
      <c r="BB37" s="11">
        <v>0</v>
      </c>
      <c r="BC37" s="11">
        <v>0</v>
      </c>
      <c r="BD37" s="11">
        <v>0</v>
      </c>
      <c r="BE37" s="11">
        <v>0</v>
      </c>
      <c r="BF37" s="11">
        <v>0</v>
      </c>
      <c r="BG37" s="11">
        <v>0</v>
      </c>
      <c r="BH37" s="11">
        <v>0</v>
      </c>
      <c r="BI37" s="11">
        <v>0</v>
      </c>
      <c r="BJ37" s="11">
        <v>0</v>
      </c>
      <c r="BK37" s="11">
        <v>0</v>
      </c>
      <c r="BL37" s="11">
        <v>0</v>
      </c>
      <c r="BM37" s="11">
        <v>0</v>
      </c>
      <c r="BN37" s="11">
        <v>0</v>
      </c>
      <c r="BO37" s="11">
        <v>0</v>
      </c>
      <c r="BP37" s="11">
        <v>1</v>
      </c>
      <c r="BQ37" s="11">
        <v>0</v>
      </c>
      <c r="BR37" s="11">
        <v>1</v>
      </c>
      <c r="BS37" s="11">
        <v>0</v>
      </c>
      <c r="BT37" s="11">
        <v>0</v>
      </c>
      <c r="BU37" s="11">
        <v>0</v>
      </c>
      <c r="BV37" s="11">
        <v>0</v>
      </c>
      <c r="BW37" s="11">
        <v>0</v>
      </c>
      <c r="BX37" s="11">
        <v>1</v>
      </c>
      <c r="BY37" s="11">
        <v>0</v>
      </c>
      <c r="BZ37" s="11">
        <v>0</v>
      </c>
      <c r="CA37" s="11">
        <v>0</v>
      </c>
      <c r="CB37" s="11">
        <v>0</v>
      </c>
      <c r="CC37" s="11">
        <v>0</v>
      </c>
      <c r="CD37" s="11">
        <v>0</v>
      </c>
      <c r="CE37" s="11">
        <v>0</v>
      </c>
      <c r="CF37" s="11">
        <v>0</v>
      </c>
      <c r="CG37" s="11">
        <v>0</v>
      </c>
      <c r="CH37" s="11">
        <f ca="1">E37</f>
        <v>1</v>
      </c>
    </row>
    <row r="38" spans="2:86" x14ac:dyDescent="0.3">
      <c r="B38" s="1"/>
      <c r="C38" s="1"/>
      <c r="D38" s="11">
        <v>5</v>
      </c>
      <c r="E38" s="11">
        <f t="shared" ca="1" si="13"/>
        <v>1</v>
      </c>
      <c r="F38" s="10">
        <f t="array" aca="1" ref="F38" ca="1">IF(SUM(OFFSET(Factors,VALUE(RIGHT(F$34,2)),1,1,68))=0,"None",SQRT(SUM((OFFSET(Factors,VALUE(RIGHT(F$34,2)),1,1,68)-$R38:$CG38)^2)))</f>
        <v>2.8828395530949846</v>
      </c>
      <c r="G38" s="10">
        <f t="array" aca="1" ref="G38" ca="1">IF(SUM(OFFSET(Factors,VALUE(RIGHT(G$34,2)),1,1,68))=0,"None",SQRT(SUM((OFFSET(Factors,VALUE(RIGHT(G$34,2)),1,1,68)-$R38:$CG38)^2)))</f>
        <v>3.3219727510291053</v>
      </c>
      <c r="H38" s="10">
        <f t="array" aca="1" ref="H38" ca="1">IF(SUM(OFFSET(Factors,VALUE(RIGHT(H$34,2)),1,1,68))=0,"None",SQRT(SUM((OFFSET(Factors,VALUE(RIGHT(H$34,2)),1,1,68)-$R38:$CG38)^2)))</f>
        <v>3.4455728577899927</v>
      </c>
      <c r="I38" s="10">
        <f t="array" aca="1" ref="I38" ca="1">IF(SUM(OFFSET(Factors,VALUE(RIGHT(I$34,2)),1,1,68))=0,"None",SQRT(SUM((OFFSET(Factors,VALUE(RIGHT(I$34,2)),1,1,68)-$R38:$CG38)^2)))</f>
        <v>3.3810971860948018</v>
      </c>
      <c r="J38" s="10">
        <f t="array" aca="1" ref="J38" ca="1">IF(SUM(OFFSET(Factors,VALUE(RIGHT(J$34,2)),1,1,68))=0,"None",SQRT(SUM((OFFSET(Factors,VALUE(RIGHT(J$34,2)),1,1,68)-$R38:$CG38)^2)))</f>
        <v>3.3387872049593099</v>
      </c>
      <c r="K38" s="10" t="str">
        <f t="array" aca="1" ref="K38" ca="1">IF(SUM(OFFSET(Factors,VALUE(RIGHT(K$34,2)),1,1,68))=0,"None",SQRT(SUM((OFFSET(Factors,VALUE(RIGHT(K$34,2)),1,1,68)-$R38:$CG38)^2)))</f>
        <v>None</v>
      </c>
      <c r="L38" s="10" t="str">
        <f t="array" aca="1" ref="L38" ca="1">IF(SUM(OFFSET(Factors,VALUE(RIGHT(L$34,2)),1,1,68))=0,"None",SQRT(SUM((OFFSET(Factors,VALUE(RIGHT(L$34,2)),1,1,68)-$R38:$CG38)^2)))</f>
        <v>None</v>
      </c>
      <c r="M38" s="10" t="str">
        <f t="array" aca="1" ref="M38" ca="1">IF(SUM(OFFSET(Factors,VALUE(RIGHT(M$34,2)),1,1,68))=0,"None",SQRT(SUM((OFFSET(Factors,VALUE(RIGHT(M$34,2)),1,1,68)-$R38:$CG38)^2)))</f>
        <v>None</v>
      </c>
      <c r="N38" s="10" t="str">
        <f t="array" aca="1" ref="N38" ca="1">IF(SUM(OFFSET(Factors,VALUE(RIGHT(N$34,2)),1,1,68))=0,"None",SQRT(SUM((OFFSET(Factors,VALUE(RIGHT(N$34,2)),1,1,68)-$R38:$CG38)^2)))</f>
        <v>None</v>
      </c>
      <c r="O38" s="10" t="str">
        <f t="array" aca="1" ref="O38" ca="1">IF(SUM(OFFSET(Factors,VALUE(RIGHT(O$34,2)),1,1,68))=0,"None",SQRT(SUM((OFFSET(Factors,VALUE(RIGHT(O$34,2)),1,1,68)-$R38:$CG38)^2)))</f>
        <v>None</v>
      </c>
      <c r="Q38" s="10" t="s">
        <v>95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1</v>
      </c>
      <c r="AC38" s="11">
        <v>0</v>
      </c>
      <c r="AD38" s="11">
        <v>0</v>
      </c>
      <c r="AE38" s="11">
        <v>0</v>
      </c>
      <c r="AF38" s="11">
        <v>1</v>
      </c>
      <c r="AG38" s="11">
        <v>1</v>
      </c>
      <c r="AH38" s="11">
        <v>0</v>
      </c>
      <c r="AI38" s="11">
        <v>0</v>
      </c>
      <c r="AJ38" s="11">
        <v>0</v>
      </c>
      <c r="AK38" s="11">
        <v>1</v>
      </c>
      <c r="AL38" s="11">
        <v>0</v>
      </c>
      <c r="AM38" s="11">
        <v>1</v>
      </c>
      <c r="AN38" s="11">
        <v>0</v>
      </c>
      <c r="AO38" s="11">
        <v>0</v>
      </c>
      <c r="AP38" s="11">
        <v>0</v>
      </c>
      <c r="AQ38" s="11">
        <v>0</v>
      </c>
      <c r="AR38" s="11">
        <v>0</v>
      </c>
      <c r="AS38" s="11">
        <v>1</v>
      </c>
      <c r="AT38" s="11">
        <v>0</v>
      </c>
      <c r="AU38" s="11">
        <v>0</v>
      </c>
      <c r="AV38" s="11">
        <v>0</v>
      </c>
      <c r="AW38" s="11">
        <v>0</v>
      </c>
      <c r="AX38" s="11">
        <v>0</v>
      </c>
      <c r="AY38" s="11">
        <v>0</v>
      </c>
      <c r="AZ38" s="11">
        <v>1</v>
      </c>
      <c r="BA38" s="11">
        <v>0</v>
      </c>
      <c r="BB38" s="11">
        <v>0</v>
      </c>
      <c r="BC38" s="11">
        <v>0</v>
      </c>
      <c r="BD38" s="11">
        <v>1</v>
      </c>
      <c r="BE38" s="11">
        <v>1</v>
      </c>
      <c r="BF38" s="11">
        <v>0</v>
      </c>
      <c r="BG38" s="11">
        <v>1</v>
      </c>
      <c r="BH38" s="11">
        <v>1</v>
      </c>
      <c r="BI38" s="11">
        <v>1</v>
      </c>
      <c r="BJ38" s="11">
        <v>1</v>
      </c>
      <c r="BK38" s="11">
        <v>0</v>
      </c>
      <c r="BL38" s="11">
        <v>0</v>
      </c>
      <c r="BM38" s="11">
        <v>0</v>
      </c>
      <c r="BN38" s="11">
        <v>0</v>
      </c>
      <c r="BO38" s="11">
        <v>0</v>
      </c>
      <c r="BP38" s="11">
        <v>0</v>
      </c>
      <c r="BQ38" s="11">
        <v>0</v>
      </c>
      <c r="BR38" s="11">
        <v>0</v>
      </c>
      <c r="BS38" s="11">
        <v>0</v>
      </c>
      <c r="BT38" s="11">
        <v>0</v>
      </c>
      <c r="BU38" s="11">
        <v>0</v>
      </c>
      <c r="BV38" s="11">
        <v>1</v>
      </c>
      <c r="BW38" s="11">
        <v>0</v>
      </c>
      <c r="BX38" s="11">
        <v>1</v>
      </c>
      <c r="BY38" s="11">
        <v>0</v>
      </c>
      <c r="BZ38" s="11">
        <v>0</v>
      </c>
      <c r="CA38" s="11">
        <v>0</v>
      </c>
      <c r="CB38" s="11">
        <v>0</v>
      </c>
      <c r="CC38" s="11">
        <v>0</v>
      </c>
      <c r="CD38" s="11">
        <v>0</v>
      </c>
      <c r="CE38" s="11">
        <v>0</v>
      </c>
      <c r="CF38" s="11">
        <v>0</v>
      </c>
      <c r="CG38" s="11">
        <v>0</v>
      </c>
      <c r="CH38" s="11">
        <f ca="1">E38</f>
        <v>1</v>
      </c>
    </row>
    <row r="39" spans="2:86" x14ac:dyDescent="0.3">
      <c r="B39" s="1"/>
      <c r="D39" s="11">
        <v>2</v>
      </c>
      <c r="E39" s="11">
        <f t="shared" ca="1" si="13"/>
        <v>1</v>
      </c>
      <c r="F39" s="10">
        <f t="array" aca="1" ref="F39" ca="1">IF(SUM(OFFSET(Factors,VALUE(RIGHT(F$34,2)),1,1,68))=0,"None",SQRT(SUM((OFFSET(Factors,VALUE(RIGHT(F$34,2)),1,1,68)-$R39:$CG39)^2)))</f>
        <v>2.1550167568309582</v>
      </c>
      <c r="G39" s="10">
        <f t="array" aca="1" ref="G39" ca="1">IF(SUM(OFFSET(Factors,VALUE(RIGHT(G$34,2)),1,1,68))=0,"None",SQRT(SUM((OFFSET(Factors,VALUE(RIGHT(G$34,2)),1,1,68)-$R39:$CG39)^2)))</f>
        <v>2.8210955109064999</v>
      </c>
      <c r="H39" s="10">
        <f t="array" aca="1" ref="H39" ca="1">IF(SUM(OFFSET(Factors,VALUE(RIGHT(H$34,2)),1,1,68))=0,"None",SQRT(SUM((OFFSET(Factors,VALUE(RIGHT(H$34,2)),1,1,68)-$R39:$CG39)^2)))</f>
        <v>2.7313380626456234</v>
      </c>
      <c r="I39" s="10">
        <f t="array" aca="1" ref="I39" ca="1">IF(SUM(OFFSET(Factors,VALUE(RIGHT(I$34,2)),1,1,68))=0,"None",SQRT(SUM((OFFSET(Factors,VALUE(RIGHT(I$34,2)),1,1,68)-$R39:$CG39)^2)))</f>
        <v>2.6241881861565557</v>
      </c>
      <c r="J39" s="10">
        <f t="array" aca="1" ref="J39" ca="1">IF(SUM(OFFSET(Factors,VALUE(RIGHT(J$34,2)),1,1,68))=0,"None",SQRT(SUM((OFFSET(Factors,VALUE(RIGHT(J$34,2)),1,1,68)-$R39:$CG39)^2)))</f>
        <v>2.9744747435471695</v>
      </c>
      <c r="K39" s="10" t="str">
        <f t="array" aca="1" ref="K39" ca="1">IF(SUM(OFFSET(Factors,VALUE(RIGHT(K$34,2)),1,1,68))=0,"None",SQRT(SUM((OFFSET(Factors,VALUE(RIGHT(K$34,2)),1,1,68)-$R39:$CG39)^2)))</f>
        <v>None</v>
      </c>
      <c r="L39" s="10" t="str">
        <f t="array" aca="1" ref="L39" ca="1">IF(SUM(OFFSET(Factors,VALUE(RIGHT(L$34,2)),1,1,68))=0,"None",SQRT(SUM((OFFSET(Factors,VALUE(RIGHT(L$34,2)),1,1,68)-$R39:$CG39)^2)))</f>
        <v>None</v>
      </c>
      <c r="M39" s="10" t="str">
        <f t="array" aca="1" ref="M39" ca="1">IF(SUM(OFFSET(Factors,VALUE(RIGHT(M$34,2)),1,1,68))=0,"None",SQRT(SUM((OFFSET(Factors,VALUE(RIGHT(M$34,2)),1,1,68)-$R39:$CG39)^2)))</f>
        <v>None</v>
      </c>
      <c r="N39" s="10" t="str">
        <f t="array" aca="1" ref="N39" ca="1">IF(SUM(OFFSET(Factors,VALUE(RIGHT(N$34,2)),1,1,68))=0,"None",SQRT(SUM((OFFSET(Factors,VALUE(RIGHT(N$34,2)),1,1,68)-$R39:$CG39)^2)))</f>
        <v>None</v>
      </c>
      <c r="O39" s="10" t="str">
        <f t="array" aca="1" ref="O39" ca="1">IF(SUM(OFFSET(Factors,VALUE(RIGHT(O$34,2)),1,1,68))=0,"None",SQRT(SUM((OFFSET(Factors,VALUE(RIGHT(O$34,2)),1,1,68)-$R39:$CG39)^2)))</f>
        <v>None</v>
      </c>
      <c r="Q39" s="10" t="s">
        <v>87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1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1</v>
      </c>
      <c r="AG39" s="11">
        <v>1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1</v>
      </c>
      <c r="AT39" s="11">
        <v>0</v>
      </c>
      <c r="AU39" s="11">
        <v>0</v>
      </c>
      <c r="AV39" s="11">
        <v>0</v>
      </c>
      <c r="AW39" s="11">
        <v>1</v>
      </c>
      <c r="AX39" s="11">
        <v>0</v>
      </c>
      <c r="AY39" s="11">
        <v>0</v>
      </c>
      <c r="AZ39" s="11">
        <v>0</v>
      </c>
      <c r="BA39" s="11">
        <v>0</v>
      </c>
      <c r="BB39" s="11">
        <v>0</v>
      </c>
      <c r="BC39" s="11">
        <v>0</v>
      </c>
      <c r="BD39" s="11">
        <v>0</v>
      </c>
      <c r="BE39" s="11">
        <v>0</v>
      </c>
      <c r="BF39" s="11">
        <v>0</v>
      </c>
      <c r="BG39" s="11">
        <v>1</v>
      </c>
      <c r="BH39" s="11">
        <v>0</v>
      </c>
      <c r="BI39" s="11">
        <v>0</v>
      </c>
      <c r="BJ39" s="11">
        <v>1</v>
      </c>
      <c r="BK39" s="11">
        <v>0</v>
      </c>
      <c r="BL39" s="11">
        <v>0</v>
      </c>
      <c r="BM39" s="11">
        <v>0</v>
      </c>
      <c r="BN39" s="11">
        <v>0</v>
      </c>
      <c r="BO39" s="11">
        <v>0</v>
      </c>
      <c r="BP39" s="11">
        <v>0</v>
      </c>
      <c r="BQ39" s="11">
        <v>1</v>
      </c>
      <c r="BR39" s="11">
        <v>0</v>
      </c>
      <c r="BS39" s="11">
        <v>0</v>
      </c>
      <c r="BT39" s="11">
        <v>0</v>
      </c>
      <c r="BU39" s="11">
        <v>0</v>
      </c>
      <c r="BV39" s="11">
        <v>0</v>
      </c>
      <c r="BW39" s="11">
        <v>0</v>
      </c>
      <c r="BX39" s="11">
        <v>1</v>
      </c>
      <c r="BY39" s="11">
        <v>0</v>
      </c>
      <c r="BZ39" s="11">
        <v>0</v>
      </c>
      <c r="CA39" s="11">
        <v>0</v>
      </c>
      <c r="CB39" s="11">
        <v>0</v>
      </c>
      <c r="CC39" s="11">
        <v>0</v>
      </c>
      <c r="CD39" s="11">
        <v>1</v>
      </c>
      <c r="CE39" s="11">
        <v>0</v>
      </c>
      <c r="CF39" s="11">
        <v>0</v>
      </c>
      <c r="CG39" s="11">
        <v>0</v>
      </c>
      <c r="CH39" s="11">
        <f ca="1">E39</f>
        <v>1</v>
      </c>
    </row>
    <row r="40" spans="2:86" x14ac:dyDescent="0.3">
      <c r="B40" s="1"/>
      <c r="D40" s="11">
        <v>2</v>
      </c>
      <c r="E40" s="11">
        <f t="shared" ca="1" si="13"/>
        <v>1</v>
      </c>
      <c r="F40" s="10">
        <f t="array" aca="1" ref="F40" ca="1">IF(SUM(OFFSET(Factors,VALUE(RIGHT(F$34,2)),1,1,68))=0,"None",SQRT(SUM((OFFSET(Factors,VALUE(RIGHT(F$34,2)),1,1,68)-$R40:$CG40)^2)))</f>
        <v>2.925878310676794</v>
      </c>
      <c r="G40" s="10">
        <f t="array" aca="1" ref="G40" ca="1">IF(SUM(OFFSET(Factors,VALUE(RIGHT(G$34,2)),1,1,68))=0,"None",SQRT(SUM((OFFSET(Factors,VALUE(RIGHT(G$34,2)),1,1,68)-$R40:$CG40)^2)))</f>
        <v>3.263569759322527</v>
      </c>
      <c r="H40" s="10">
        <f t="array" aca="1" ref="H40" ca="1">IF(SUM(OFFSET(Factors,VALUE(RIGHT(H$34,2)),1,1,68))=0,"None",SQRT(SUM((OFFSET(Factors,VALUE(RIGHT(H$34,2)),1,1,68)-$R40:$CG40)^2)))</f>
        <v>3.2883352610291023</v>
      </c>
      <c r="I40" s="10">
        <f t="array" aca="1" ref="I40" ca="1">IF(SUM(OFFSET(Factors,VALUE(RIGHT(I$34,2)),1,1,68))=0,"None",SQRT(SUM((OFFSET(Factors,VALUE(RIGHT(I$34,2)),1,1,68)-$R40:$CG40)^2)))</f>
        <v>3.0858916495443052</v>
      </c>
      <c r="J40" s="10">
        <f t="array" aca="1" ref="J40" ca="1">IF(SUM(OFFSET(Factors,VALUE(RIGHT(J$34,2)),1,1,68))=0,"None",SQRT(SUM((OFFSET(Factors,VALUE(RIGHT(J$34,2)),1,1,68)-$R40:$CG40)^2)))</f>
        <v>3.5139009661628204</v>
      </c>
      <c r="K40" s="10" t="str">
        <f t="array" aca="1" ref="K40" ca="1">IF(SUM(OFFSET(Factors,VALUE(RIGHT(K$34,2)),1,1,68))=0,"None",SQRT(SUM((OFFSET(Factors,VALUE(RIGHT(K$34,2)),1,1,68)-$R40:$CG40)^2)))</f>
        <v>None</v>
      </c>
      <c r="L40" s="10" t="str">
        <f t="array" aca="1" ref="L40" ca="1">IF(SUM(OFFSET(Factors,VALUE(RIGHT(L$34,2)),1,1,68))=0,"None",SQRT(SUM((OFFSET(Factors,VALUE(RIGHT(L$34,2)),1,1,68)-$R40:$CG40)^2)))</f>
        <v>None</v>
      </c>
      <c r="M40" s="10" t="str">
        <f t="array" aca="1" ref="M40" ca="1">IF(SUM(OFFSET(Factors,VALUE(RIGHT(M$34,2)),1,1,68))=0,"None",SQRT(SUM((OFFSET(Factors,VALUE(RIGHT(M$34,2)),1,1,68)-$R40:$CG40)^2)))</f>
        <v>None</v>
      </c>
      <c r="N40" s="10" t="str">
        <f t="array" aca="1" ref="N40" ca="1">IF(SUM(OFFSET(Factors,VALUE(RIGHT(N$34,2)),1,1,68))=0,"None",SQRT(SUM((OFFSET(Factors,VALUE(RIGHT(N$34,2)),1,1,68)-$R40:$CG40)^2)))</f>
        <v>None</v>
      </c>
      <c r="O40" s="10" t="str">
        <f t="array" aca="1" ref="O40" ca="1">IF(SUM(OFFSET(Factors,VALUE(RIGHT(O$34,2)),1,1,68))=0,"None",SQRT(SUM((OFFSET(Factors,VALUE(RIGHT(O$34,2)),1,1,68)-$R40:$CG40)^2)))</f>
        <v>None</v>
      </c>
      <c r="Q40" s="10" t="s">
        <v>86</v>
      </c>
      <c r="R40" s="11">
        <v>0</v>
      </c>
      <c r="S40" s="11">
        <v>0</v>
      </c>
      <c r="T40" s="11">
        <v>0</v>
      </c>
      <c r="U40" s="11">
        <v>1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1</v>
      </c>
      <c r="AG40" s="11">
        <v>1</v>
      </c>
      <c r="AH40" s="11">
        <v>0</v>
      </c>
      <c r="AI40" s="11">
        <v>1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P40" s="11">
        <v>0</v>
      </c>
      <c r="AQ40" s="11">
        <v>0</v>
      </c>
      <c r="AR40" s="11">
        <v>0</v>
      </c>
      <c r="AS40" s="11">
        <v>0</v>
      </c>
      <c r="AT40" s="11">
        <v>0</v>
      </c>
      <c r="AU40" s="11">
        <v>0</v>
      </c>
      <c r="AV40" s="11">
        <v>1</v>
      </c>
      <c r="AW40" s="11">
        <v>1</v>
      </c>
      <c r="AX40" s="11">
        <v>0</v>
      </c>
      <c r="AY40" s="11">
        <v>0</v>
      </c>
      <c r="AZ40" s="11">
        <v>0</v>
      </c>
      <c r="BA40" s="11">
        <v>0</v>
      </c>
      <c r="BB40" s="11">
        <v>0</v>
      </c>
      <c r="BC40" s="11">
        <v>0</v>
      </c>
      <c r="BD40" s="11">
        <v>1</v>
      </c>
      <c r="BE40" s="11">
        <v>0</v>
      </c>
      <c r="BF40" s="11">
        <v>0</v>
      </c>
      <c r="BG40" s="11">
        <v>0</v>
      </c>
      <c r="BH40" s="11">
        <v>0</v>
      </c>
      <c r="BI40" s="11">
        <v>0</v>
      </c>
      <c r="BJ40" s="11">
        <v>1</v>
      </c>
      <c r="BK40" s="11">
        <v>0</v>
      </c>
      <c r="BL40" s="11">
        <v>0</v>
      </c>
      <c r="BM40" s="11">
        <v>0</v>
      </c>
      <c r="BN40" s="11">
        <v>0</v>
      </c>
      <c r="BO40" s="11">
        <v>0</v>
      </c>
      <c r="BP40" s="11">
        <v>1</v>
      </c>
      <c r="BQ40" s="11">
        <v>0</v>
      </c>
      <c r="BR40" s="11">
        <v>0</v>
      </c>
      <c r="BS40" s="11">
        <v>0</v>
      </c>
      <c r="BT40" s="11">
        <v>0</v>
      </c>
      <c r="BU40" s="11">
        <v>0</v>
      </c>
      <c r="BV40" s="11">
        <v>0</v>
      </c>
      <c r="BW40" s="11">
        <v>0</v>
      </c>
      <c r="BX40" s="11">
        <v>1</v>
      </c>
      <c r="BY40" s="11">
        <v>1</v>
      </c>
      <c r="BZ40" s="11">
        <v>0</v>
      </c>
      <c r="CA40" s="11">
        <v>1</v>
      </c>
      <c r="CB40" s="11">
        <v>0</v>
      </c>
      <c r="CC40" s="11">
        <v>0</v>
      </c>
      <c r="CD40" s="11">
        <v>1</v>
      </c>
      <c r="CE40" s="11">
        <v>0</v>
      </c>
      <c r="CF40" s="11">
        <v>0</v>
      </c>
      <c r="CG40" s="11">
        <v>0</v>
      </c>
      <c r="CH40" s="11">
        <f ca="1">E40</f>
        <v>1</v>
      </c>
    </row>
    <row r="41" spans="2:86" x14ac:dyDescent="0.3">
      <c r="B41" s="1"/>
      <c r="D41" s="11">
        <v>4</v>
      </c>
      <c r="E41" s="11">
        <f t="shared" ca="1" si="13"/>
        <v>1</v>
      </c>
      <c r="F41" s="10">
        <f t="array" aca="1" ref="F41" ca="1">IF(SUM(OFFSET(Factors,VALUE(RIGHT(F$34,2)),1,1,68))=0,"None",SQRT(SUM((OFFSET(Factors,VALUE(RIGHT(F$34,2)),1,1,68)-$R41:$CG41)^2)))</f>
        <v>2.2496141644488481</v>
      </c>
      <c r="G41" s="10">
        <f t="array" aca="1" ref="G41" ca="1">IF(SUM(OFFSET(Factors,VALUE(RIGHT(G$34,2)),1,1,68))=0,"None",SQRT(SUM((OFFSET(Factors,VALUE(RIGHT(G$34,2)),1,1,68)-$R41:$CG41)^2)))</f>
        <v>2.8210955109064995</v>
      </c>
      <c r="H41" s="10">
        <f t="array" aca="1" ref="H41" ca="1">IF(SUM(OFFSET(Factors,VALUE(RIGHT(H$34,2)),1,1,68))=0,"None",SQRT(SUM((OFFSET(Factors,VALUE(RIGHT(H$34,2)),1,1,68)-$R41:$CG41)^2)))</f>
        <v>2.7097159544190639</v>
      </c>
      <c r="I41" s="10">
        <f t="array" aca="1" ref="I41" ca="1">IF(SUM(OFFSET(Factors,VALUE(RIGHT(I$34,2)),1,1,68))=0,"None",SQRT(SUM((OFFSET(Factors,VALUE(RIGHT(I$34,2)),1,1,68)-$R41:$CG41)^2)))</f>
        <v>2.4448461561564003</v>
      </c>
      <c r="J41" s="10">
        <f t="array" aca="1" ref="J41" ca="1">IF(SUM(OFFSET(Factors,VALUE(RIGHT(J$34,2)),1,1,68))=0,"None",SQRT(SUM((OFFSET(Factors,VALUE(RIGHT(J$34,2)),1,1,68)-$R41:$CG41)^2)))</f>
        <v>2.63581107061944</v>
      </c>
      <c r="K41" s="10" t="str">
        <f t="array" aca="1" ref="K41" ca="1">IF(SUM(OFFSET(Factors,VALUE(RIGHT(K$34,2)),1,1,68))=0,"None",SQRT(SUM((OFFSET(Factors,VALUE(RIGHT(K$34,2)),1,1,68)-$R41:$CG41)^2)))</f>
        <v>None</v>
      </c>
      <c r="L41" s="10" t="str">
        <f t="array" aca="1" ref="L41" ca="1">IF(SUM(OFFSET(Factors,VALUE(RIGHT(L$34,2)),1,1,68))=0,"None",SQRT(SUM((OFFSET(Factors,VALUE(RIGHT(L$34,2)),1,1,68)-$R41:$CG41)^2)))</f>
        <v>None</v>
      </c>
      <c r="M41" s="10" t="str">
        <f t="array" aca="1" ref="M41" ca="1">IF(SUM(OFFSET(Factors,VALUE(RIGHT(M$34,2)),1,1,68))=0,"None",SQRT(SUM((OFFSET(Factors,VALUE(RIGHT(M$34,2)),1,1,68)-$R41:$CG41)^2)))</f>
        <v>None</v>
      </c>
      <c r="N41" s="10" t="str">
        <f t="array" aca="1" ref="N41" ca="1">IF(SUM(OFFSET(Factors,VALUE(RIGHT(N$34,2)),1,1,68))=0,"None",SQRT(SUM((OFFSET(Factors,VALUE(RIGHT(N$34,2)),1,1,68)-$R41:$CG41)^2)))</f>
        <v>None</v>
      </c>
      <c r="O41" s="10" t="str">
        <f t="array" aca="1" ref="O41" ca="1">IF(SUM(OFFSET(Factors,VALUE(RIGHT(O$34,2)),1,1,68))=0,"None",SQRT(SUM((OFFSET(Factors,VALUE(RIGHT(O$34,2)),1,1,68)-$R41:$CG41)^2)))</f>
        <v>None</v>
      </c>
      <c r="Q41" s="10" t="s">
        <v>81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1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1</v>
      </c>
      <c r="AG41" s="11">
        <v>1</v>
      </c>
      <c r="AH41" s="11">
        <v>1</v>
      </c>
      <c r="AI41" s="11">
        <v>0</v>
      </c>
      <c r="AJ41" s="11">
        <v>0</v>
      </c>
      <c r="AK41" s="11">
        <v>1</v>
      </c>
      <c r="AL41" s="11">
        <v>1</v>
      </c>
      <c r="AM41" s="11">
        <v>0</v>
      </c>
      <c r="AN41" s="11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1</v>
      </c>
      <c r="AT41" s="11">
        <v>0</v>
      </c>
      <c r="AU41" s="11">
        <v>0</v>
      </c>
      <c r="AV41" s="11">
        <v>0</v>
      </c>
      <c r="AW41" s="11">
        <v>0</v>
      </c>
      <c r="AX41" s="11">
        <v>0</v>
      </c>
      <c r="AY41" s="11">
        <v>0</v>
      </c>
      <c r="AZ41" s="11">
        <v>0</v>
      </c>
      <c r="BA41" s="11">
        <v>0</v>
      </c>
      <c r="BB41" s="11">
        <v>0</v>
      </c>
      <c r="BC41" s="11">
        <v>0</v>
      </c>
      <c r="BD41" s="11">
        <v>0</v>
      </c>
      <c r="BE41" s="11">
        <v>0</v>
      </c>
      <c r="BF41" s="11">
        <v>0</v>
      </c>
      <c r="BG41" s="11">
        <v>1</v>
      </c>
      <c r="BH41" s="11">
        <v>0</v>
      </c>
      <c r="BI41" s="11">
        <v>0</v>
      </c>
      <c r="BJ41" s="11">
        <v>1</v>
      </c>
      <c r="BK41" s="11">
        <v>0</v>
      </c>
      <c r="BL41" s="11">
        <v>0</v>
      </c>
      <c r="BM41" s="11">
        <v>0</v>
      </c>
      <c r="BN41" s="11">
        <v>0</v>
      </c>
      <c r="BO41" s="11">
        <v>0</v>
      </c>
      <c r="BP41" s="11">
        <v>0</v>
      </c>
      <c r="BQ41" s="11">
        <v>0</v>
      </c>
      <c r="BR41" s="11">
        <v>1</v>
      </c>
      <c r="BS41" s="11">
        <v>0</v>
      </c>
      <c r="BT41" s="11">
        <v>0</v>
      </c>
      <c r="BU41" s="11">
        <v>0</v>
      </c>
      <c r="BV41" s="11">
        <v>0</v>
      </c>
      <c r="BW41" s="11">
        <v>0</v>
      </c>
      <c r="BX41" s="11">
        <v>0</v>
      </c>
      <c r="BY41" s="11">
        <v>0</v>
      </c>
      <c r="BZ41" s="11">
        <v>0</v>
      </c>
      <c r="CA41" s="11">
        <v>0</v>
      </c>
      <c r="CB41" s="11">
        <v>0</v>
      </c>
      <c r="CC41" s="11">
        <v>0</v>
      </c>
      <c r="CD41" s="11">
        <v>0</v>
      </c>
      <c r="CE41" s="11">
        <v>0</v>
      </c>
      <c r="CF41" s="11">
        <v>0</v>
      </c>
      <c r="CG41" s="11">
        <v>0</v>
      </c>
      <c r="CH41" s="11">
        <f ca="1">E41</f>
        <v>1</v>
      </c>
    </row>
    <row r="42" spans="2:86" x14ac:dyDescent="0.3">
      <c r="B42" s="1"/>
      <c r="D42" s="11">
        <v>4</v>
      </c>
      <c r="E42" s="11">
        <f t="shared" ca="1" si="13"/>
        <v>1</v>
      </c>
      <c r="F42" s="10">
        <f t="array" aca="1" ref="F42" ca="1">IF(SUM(OFFSET(Factors,VALUE(RIGHT(F$34,2)),1,1,68))=0,"None",SQRT(SUM((OFFSET(Factors,VALUE(RIGHT(F$34,2)),1,1,68)-$R42:$CG42)^2)))</f>
        <v>2.4787289529559748</v>
      </c>
      <c r="G42" s="10">
        <f t="array" aca="1" ref="G42" ca="1">IF(SUM(OFFSET(Factors,VALUE(RIGHT(G$34,2)),1,1,68))=0,"None",SQRT(SUM((OFFSET(Factors,VALUE(RIGHT(G$34,2)),1,1,68)-$R42:$CG42)^2)))</f>
        <v>3.0817270190784818</v>
      </c>
      <c r="H42" s="10">
        <f t="array" aca="1" ref="H42" ca="1">IF(SUM(OFFSET(Factors,VALUE(RIGHT(H$34,2)),1,1,68))=0,"None",SQRT(SUM((OFFSET(Factors,VALUE(RIGHT(H$34,2)),1,1,68)-$R42:$CG42)^2)))</f>
        <v>3.2251176851465408</v>
      </c>
      <c r="I42" s="10">
        <f t="array" aca="1" ref="I42" ca="1">IF(SUM(OFFSET(Factors,VALUE(RIGHT(I$34,2)),1,1,68))=0,"None",SQRT(SUM((OFFSET(Factors,VALUE(RIGHT(I$34,2)),1,1,68)-$R42:$CG42)^2)))</f>
        <v>2.8722813232690148</v>
      </c>
      <c r="J42" s="10">
        <f t="array" aca="1" ref="J42" ca="1">IF(SUM(OFFSET(Factors,VALUE(RIGHT(J$34,2)),1,1,68))=0,"None",SQRT(SUM((OFFSET(Factors,VALUE(RIGHT(J$34,2)),1,1,68)-$R42:$CG42)^2)))</f>
        <v>3.2476914878109957</v>
      </c>
      <c r="K42" s="10" t="str">
        <f t="array" aca="1" ref="K42" ca="1">IF(SUM(OFFSET(Factors,VALUE(RIGHT(K$34,2)),1,1,68))=0,"None",SQRT(SUM((OFFSET(Factors,VALUE(RIGHT(K$34,2)),1,1,68)-$R42:$CG42)^2)))</f>
        <v>None</v>
      </c>
      <c r="L42" s="10" t="str">
        <f t="array" aca="1" ref="L42" ca="1">IF(SUM(OFFSET(Factors,VALUE(RIGHT(L$34,2)),1,1,68))=0,"None",SQRT(SUM((OFFSET(Factors,VALUE(RIGHT(L$34,2)),1,1,68)-$R42:$CG42)^2)))</f>
        <v>None</v>
      </c>
      <c r="M42" s="10" t="str">
        <f t="array" aca="1" ref="M42" ca="1">IF(SUM(OFFSET(Factors,VALUE(RIGHT(M$34,2)),1,1,68))=0,"None",SQRT(SUM((OFFSET(Factors,VALUE(RIGHT(M$34,2)),1,1,68)-$R42:$CG42)^2)))</f>
        <v>None</v>
      </c>
      <c r="N42" s="10" t="str">
        <f t="array" aca="1" ref="N42" ca="1">IF(SUM(OFFSET(Factors,VALUE(RIGHT(N$34,2)),1,1,68))=0,"None",SQRT(SUM((OFFSET(Factors,VALUE(RIGHT(N$34,2)),1,1,68)-$R42:$CG42)^2)))</f>
        <v>None</v>
      </c>
      <c r="O42" s="10" t="str">
        <f t="array" aca="1" ref="O42" ca="1">IF(SUM(OFFSET(Factors,VALUE(RIGHT(O$34,2)),1,1,68))=0,"None",SQRT(SUM((OFFSET(Factors,VALUE(RIGHT(O$34,2)),1,1,68)-$R42:$CG42)^2)))</f>
        <v>None</v>
      </c>
      <c r="Q42" s="10" t="s">
        <v>70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1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1</v>
      </c>
      <c r="AH42" s="11">
        <v>0</v>
      </c>
      <c r="AI42" s="11">
        <v>0</v>
      </c>
      <c r="AJ42" s="11">
        <v>0</v>
      </c>
      <c r="AK42" s="11">
        <v>0</v>
      </c>
      <c r="AL42" s="11">
        <v>1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1</v>
      </c>
      <c r="AS42" s="11">
        <v>1</v>
      </c>
      <c r="AT42" s="11">
        <v>0</v>
      </c>
      <c r="AU42" s="11">
        <v>0</v>
      </c>
      <c r="AV42" s="11">
        <v>0</v>
      </c>
      <c r="AW42" s="11">
        <v>1</v>
      </c>
      <c r="AX42" s="11">
        <v>0</v>
      </c>
      <c r="AY42" s="11">
        <v>0</v>
      </c>
      <c r="AZ42" s="11">
        <v>0</v>
      </c>
      <c r="BA42" s="11">
        <v>0</v>
      </c>
      <c r="BB42" s="11">
        <v>0</v>
      </c>
      <c r="BC42" s="11">
        <v>0</v>
      </c>
      <c r="BD42" s="11">
        <v>0</v>
      </c>
      <c r="BE42" s="11">
        <v>0</v>
      </c>
      <c r="BF42" s="11">
        <v>1</v>
      </c>
      <c r="BG42" s="11">
        <v>1</v>
      </c>
      <c r="BH42" s="11">
        <v>0</v>
      </c>
      <c r="BI42" s="11">
        <v>0</v>
      </c>
      <c r="BJ42" s="11">
        <v>1</v>
      </c>
      <c r="BK42" s="11">
        <v>0</v>
      </c>
      <c r="BL42" s="11">
        <v>0</v>
      </c>
      <c r="BM42" s="11">
        <v>0</v>
      </c>
      <c r="BN42" s="11">
        <v>0</v>
      </c>
      <c r="BO42" s="11">
        <v>0</v>
      </c>
      <c r="BP42" s="11">
        <v>0</v>
      </c>
      <c r="BQ42" s="11">
        <v>0</v>
      </c>
      <c r="BR42" s="11">
        <v>0</v>
      </c>
      <c r="BS42" s="11">
        <v>1</v>
      </c>
      <c r="BT42" s="11">
        <v>0</v>
      </c>
      <c r="BU42" s="11">
        <v>1</v>
      </c>
      <c r="BV42" s="11">
        <v>0</v>
      </c>
      <c r="BW42" s="11">
        <v>0</v>
      </c>
      <c r="BX42" s="11">
        <v>1</v>
      </c>
      <c r="BY42" s="11">
        <v>0</v>
      </c>
      <c r="BZ42" s="11">
        <v>0</v>
      </c>
      <c r="CA42" s="11">
        <v>0</v>
      </c>
      <c r="CB42" s="11">
        <v>0</v>
      </c>
      <c r="CC42" s="11">
        <v>0</v>
      </c>
      <c r="CD42" s="11">
        <v>0</v>
      </c>
      <c r="CE42" s="11">
        <v>0</v>
      </c>
      <c r="CF42" s="11">
        <v>0</v>
      </c>
      <c r="CG42" s="11">
        <v>0</v>
      </c>
      <c r="CH42" s="11">
        <f ca="1">E42</f>
        <v>1</v>
      </c>
    </row>
    <row r="43" spans="2:86" x14ac:dyDescent="0.3">
      <c r="D43" s="11">
        <v>5</v>
      </c>
      <c r="E43" s="11">
        <f t="shared" ca="1" si="13"/>
        <v>1</v>
      </c>
      <c r="F43" s="10">
        <f t="array" aca="1" ref="F43" ca="1">IF(SUM(OFFSET(Factors,VALUE(RIGHT(F$34,2)),1,1,68))=0,"None",SQRT(SUM((OFFSET(Factors,VALUE(RIGHT(F$34,2)),1,1,68)-$R43:$CG43)^2)))</f>
        <v>2.4105526106867878</v>
      </c>
      <c r="G43" s="10">
        <f t="array" aca="1" ref="G43" ca="1">IF(SUM(OFFSET(Factors,VALUE(RIGHT(G$34,2)),1,1,68))=0,"None",SQRT(SUM((OFFSET(Factors,VALUE(RIGHT(G$34,2)),1,1,68)-$R43:$CG43)^2)))</f>
        <v>3.0059113357815272</v>
      </c>
      <c r="H43" s="10">
        <f t="array" aca="1" ref="H43" ca="1">IF(SUM(OFFSET(Factors,VALUE(RIGHT(H$34,2)),1,1,68))=0,"None",SQRT(SUM((OFFSET(Factors,VALUE(RIGHT(H$34,2)),1,1,68)-$R43:$CG43)^2)))</f>
        <v>2.9982693970293313</v>
      </c>
      <c r="I43" s="10">
        <f t="array" aca="1" ref="I43" ca="1">IF(SUM(OFFSET(Factors,VALUE(RIGHT(I$34,2)),1,1,68))=0,"None",SQRT(SUM((OFFSET(Factors,VALUE(RIGHT(I$34,2)),1,1,68)-$R43:$CG43)^2)))</f>
        <v>2.9193710406057112</v>
      </c>
      <c r="J43" s="10">
        <f t="array" aca="1" ref="J43" ca="1">IF(SUM(OFFSET(Factors,VALUE(RIGHT(J$34,2)),1,1,68))=0,"None",SQRT(SUM((OFFSET(Factors,VALUE(RIGHT(J$34,2)),1,1,68)-$R43:$CG43)^2)))</f>
        <v>3.1060424980994701</v>
      </c>
      <c r="K43" s="10" t="str">
        <f t="array" aca="1" ref="K43" ca="1">IF(SUM(OFFSET(Factors,VALUE(RIGHT(K$34,2)),1,1,68))=0,"None",SQRT(SUM((OFFSET(Factors,VALUE(RIGHT(K$34,2)),1,1,68)-$R43:$CG43)^2)))</f>
        <v>None</v>
      </c>
      <c r="L43" s="10" t="str">
        <f t="array" aca="1" ref="L43" ca="1">IF(SUM(OFFSET(Factors,VALUE(RIGHT(L$34,2)),1,1,68))=0,"None",SQRT(SUM((OFFSET(Factors,VALUE(RIGHT(L$34,2)),1,1,68)-$R43:$CG43)^2)))</f>
        <v>None</v>
      </c>
      <c r="M43" s="10" t="str">
        <f t="array" aca="1" ref="M43" ca="1">IF(SUM(OFFSET(Factors,VALUE(RIGHT(M$34,2)),1,1,68))=0,"None",SQRT(SUM((OFFSET(Factors,VALUE(RIGHT(M$34,2)),1,1,68)-$R43:$CG43)^2)))</f>
        <v>None</v>
      </c>
      <c r="N43" s="10" t="str">
        <f t="array" aca="1" ref="N43" ca="1">IF(SUM(OFFSET(Factors,VALUE(RIGHT(N$34,2)),1,1,68))=0,"None",SQRT(SUM((OFFSET(Factors,VALUE(RIGHT(N$34,2)),1,1,68)-$R43:$CG43)^2)))</f>
        <v>None</v>
      </c>
      <c r="O43" s="10" t="str">
        <f t="array" aca="1" ref="O43" ca="1">IF(SUM(OFFSET(Factors,VALUE(RIGHT(O$34,2)),1,1,68))=0,"None",SQRT(SUM((OFFSET(Factors,VALUE(RIGHT(O$34,2)),1,1,68)-$R43:$CG43)^2)))</f>
        <v>None</v>
      </c>
      <c r="Q43" s="10" t="s">
        <v>69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1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1</v>
      </c>
      <c r="AG43" s="11">
        <v>1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11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1</v>
      </c>
      <c r="AT43" s="11">
        <v>0</v>
      </c>
      <c r="AU43" s="11">
        <v>0</v>
      </c>
      <c r="AV43" s="11">
        <v>0</v>
      </c>
      <c r="AW43" s="11">
        <v>0</v>
      </c>
      <c r="AX43" s="11">
        <v>1</v>
      </c>
      <c r="AY43" s="11">
        <v>0</v>
      </c>
      <c r="AZ43" s="11">
        <v>0</v>
      </c>
      <c r="BA43" s="11">
        <v>0</v>
      </c>
      <c r="BB43" s="11">
        <v>0</v>
      </c>
      <c r="BC43" s="11">
        <v>0</v>
      </c>
      <c r="BD43" s="11">
        <v>0</v>
      </c>
      <c r="BE43" s="11">
        <v>0</v>
      </c>
      <c r="BF43" s="11">
        <v>0</v>
      </c>
      <c r="BG43" s="11">
        <v>1</v>
      </c>
      <c r="BH43" s="11">
        <v>0</v>
      </c>
      <c r="BI43" s="11">
        <v>1</v>
      </c>
      <c r="BJ43" s="11">
        <v>1</v>
      </c>
      <c r="BK43" s="11">
        <v>0</v>
      </c>
      <c r="BL43" s="11">
        <v>0</v>
      </c>
      <c r="BM43" s="11">
        <v>0</v>
      </c>
      <c r="BN43" s="11">
        <v>0</v>
      </c>
      <c r="BO43" s="11">
        <v>0</v>
      </c>
      <c r="BP43" s="11">
        <v>1</v>
      </c>
      <c r="BQ43" s="11">
        <v>1</v>
      </c>
      <c r="BR43" s="11">
        <v>0</v>
      </c>
      <c r="BS43" s="11">
        <v>0</v>
      </c>
      <c r="BT43" s="11">
        <v>0</v>
      </c>
      <c r="BU43" s="11">
        <v>0</v>
      </c>
      <c r="BV43" s="11">
        <v>0</v>
      </c>
      <c r="BW43" s="11">
        <v>0</v>
      </c>
      <c r="BX43" s="11">
        <v>1</v>
      </c>
      <c r="BY43" s="11">
        <v>0</v>
      </c>
      <c r="BZ43" s="11">
        <v>0</v>
      </c>
      <c r="CA43" s="11">
        <v>0</v>
      </c>
      <c r="CB43" s="11">
        <v>0</v>
      </c>
      <c r="CC43" s="11">
        <v>0</v>
      </c>
      <c r="CD43" s="11">
        <v>0</v>
      </c>
      <c r="CE43" s="11">
        <v>0</v>
      </c>
      <c r="CF43" s="11">
        <v>0</v>
      </c>
      <c r="CG43" s="11">
        <v>1</v>
      </c>
      <c r="CH43" s="11">
        <f ca="1">E43</f>
        <v>1</v>
      </c>
    </row>
    <row r="44" spans="2:86" x14ac:dyDescent="0.3">
      <c r="D44" s="11">
        <v>1</v>
      </c>
      <c r="E44" s="11">
        <f t="shared" ca="1" si="13"/>
        <v>1</v>
      </c>
      <c r="F44" s="10">
        <f t="array" aca="1" ref="F44" ca="1">IF(SUM(OFFSET(Factors,VALUE(RIGHT(F$34,2)),1,1,68))=0,"None",SQRT(SUM((OFFSET(Factors,VALUE(RIGHT(F$34,2)),1,1,68)-$R44:$CG44)^2)))</f>
        <v>2.4105526106867878</v>
      </c>
      <c r="G44" s="10">
        <f t="array" aca="1" ref="G44" ca="1">IF(SUM(OFFSET(Factors,VALUE(RIGHT(G$34,2)),1,1,68))=0,"None",SQRT(SUM((OFFSET(Factors,VALUE(RIGHT(G$34,2)),1,1,68)-$R44:$CG44)^2)))</f>
        <v>2.8346962727212741</v>
      </c>
      <c r="H44" s="10">
        <f t="array" aca="1" ref="H44" ca="1">IF(SUM(OFFSET(Factors,VALUE(RIGHT(H$34,2)),1,1,68))=0,"None",SQRT(SUM((OFFSET(Factors,VALUE(RIGHT(H$34,2)),1,1,68)-$R44:$CG44)^2)))</f>
        <v>2.6102009096863288</v>
      </c>
      <c r="I44" s="10">
        <f t="array" aca="1" ref="I44" ca="1">IF(SUM(OFFSET(Factors,VALUE(RIGHT(I$34,2)),1,1,68))=0,"None",SQRT(SUM((OFFSET(Factors,VALUE(RIGHT(I$34,2)),1,1,68)-$R44:$CG44)^2)))</f>
        <v>2.7920341232611299</v>
      </c>
      <c r="J44" s="10">
        <f t="array" aca="1" ref="J44" ca="1">IF(SUM(OFFSET(Factors,VALUE(RIGHT(J$34,2)),1,1,68))=0,"None",SQRT(SUM((OFFSET(Factors,VALUE(RIGHT(J$34,2)),1,1,68)-$R44:$CG44)^2)))</f>
        <v>2.6358110706194404</v>
      </c>
      <c r="K44" s="10" t="str">
        <f t="array" aca="1" ref="K44" ca="1">IF(SUM(OFFSET(Factors,VALUE(RIGHT(K$34,2)),1,1,68))=0,"None",SQRT(SUM((OFFSET(Factors,VALUE(RIGHT(K$34,2)),1,1,68)-$R44:$CG44)^2)))</f>
        <v>None</v>
      </c>
      <c r="L44" s="10" t="str">
        <f t="array" aca="1" ref="L44" ca="1">IF(SUM(OFFSET(Factors,VALUE(RIGHT(L$34,2)),1,1,68))=0,"None",SQRT(SUM((OFFSET(Factors,VALUE(RIGHT(L$34,2)),1,1,68)-$R44:$CG44)^2)))</f>
        <v>None</v>
      </c>
      <c r="M44" s="10" t="str">
        <f t="array" aca="1" ref="M44" ca="1">IF(SUM(OFFSET(Factors,VALUE(RIGHT(M$34,2)),1,1,68))=0,"None",SQRT(SUM((OFFSET(Factors,VALUE(RIGHT(M$34,2)),1,1,68)-$R44:$CG44)^2)))</f>
        <v>None</v>
      </c>
      <c r="N44" s="10" t="str">
        <f t="array" aca="1" ref="N44" ca="1">IF(SUM(OFFSET(Factors,VALUE(RIGHT(N$34,2)),1,1,68))=0,"None",SQRT(SUM((OFFSET(Factors,VALUE(RIGHT(N$34,2)),1,1,68)-$R44:$CG44)^2)))</f>
        <v>None</v>
      </c>
      <c r="O44" s="10" t="str">
        <f t="array" aca="1" ref="O44" ca="1">IF(SUM(OFFSET(Factors,VALUE(RIGHT(O$34,2)),1,1,68))=0,"None",SQRT(SUM((OFFSET(Factors,VALUE(RIGHT(O$34,2)),1,1,68)-$R44:$CG44)^2)))</f>
        <v>None</v>
      </c>
      <c r="Q44" s="10" t="s">
        <v>59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1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1</v>
      </c>
      <c r="AH44" s="11">
        <v>0</v>
      </c>
      <c r="AI44" s="11">
        <v>0</v>
      </c>
      <c r="AJ44" s="11">
        <v>0</v>
      </c>
      <c r="AK44" s="11">
        <v>0</v>
      </c>
      <c r="AL44" s="11">
        <v>1</v>
      </c>
      <c r="AM44" s="11">
        <v>0</v>
      </c>
      <c r="AN44" s="11">
        <v>0</v>
      </c>
      <c r="AO44" s="11">
        <v>0</v>
      </c>
      <c r="AP44" s="11">
        <v>0</v>
      </c>
      <c r="AQ44" s="11">
        <v>0</v>
      </c>
      <c r="AR44" s="11">
        <v>0</v>
      </c>
      <c r="AS44" s="11">
        <v>0</v>
      </c>
      <c r="AT44" s="11">
        <v>1</v>
      </c>
      <c r="AU44" s="11">
        <v>0</v>
      </c>
      <c r="AV44" s="11">
        <v>0</v>
      </c>
      <c r="AW44" s="11">
        <v>0</v>
      </c>
      <c r="AX44" s="11">
        <v>0</v>
      </c>
      <c r="AY44" s="11">
        <v>0</v>
      </c>
      <c r="AZ44" s="11">
        <v>0</v>
      </c>
      <c r="BA44" s="11">
        <v>0</v>
      </c>
      <c r="BB44" s="11">
        <v>0</v>
      </c>
      <c r="BC44" s="11">
        <v>0</v>
      </c>
      <c r="BD44" s="11">
        <v>0</v>
      </c>
      <c r="BE44" s="11">
        <v>0</v>
      </c>
      <c r="BF44" s="11">
        <v>0</v>
      </c>
      <c r="BG44" s="11">
        <v>0</v>
      </c>
      <c r="BH44" s="11">
        <v>0</v>
      </c>
      <c r="BI44" s="11">
        <v>0</v>
      </c>
      <c r="BJ44" s="11">
        <v>1</v>
      </c>
      <c r="BK44" s="11">
        <v>0</v>
      </c>
      <c r="BL44" s="11">
        <v>0</v>
      </c>
      <c r="BM44" s="11">
        <v>1</v>
      </c>
      <c r="BN44" s="11">
        <v>0</v>
      </c>
      <c r="BO44" s="11">
        <v>0</v>
      </c>
      <c r="BP44" s="11">
        <v>0</v>
      </c>
      <c r="BQ44" s="11">
        <v>1</v>
      </c>
      <c r="BR44" s="11">
        <v>0</v>
      </c>
      <c r="BS44" s="11">
        <v>0</v>
      </c>
      <c r="BT44" s="11">
        <v>0</v>
      </c>
      <c r="BU44" s="11">
        <v>0</v>
      </c>
      <c r="BV44" s="11">
        <v>0</v>
      </c>
      <c r="BW44" s="11">
        <v>0</v>
      </c>
      <c r="BX44" s="11">
        <v>0</v>
      </c>
      <c r="BY44" s="11">
        <v>0</v>
      </c>
      <c r="BZ44" s="11">
        <v>0</v>
      </c>
      <c r="CA44" s="11">
        <v>0</v>
      </c>
      <c r="CB44" s="11">
        <v>0</v>
      </c>
      <c r="CC44" s="11">
        <v>0</v>
      </c>
      <c r="CD44" s="11">
        <v>0</v>
      </c>
      <c r="CE44" s="11">
        <v>0</v>
      </c>
      <c r="CF44" s="11">
        <v>0</v>
      </c>
      <c r="CG44" s="11">
        <v>0</v>
      </c>
      <c r="CH44" s="11">
        <f ca="1">E44</f>
        <v>1</v>
      </c>
    </row>
    <row r="45" spans="2:86" x14ac:dyDescent="0.3">
      <c r="D45" s="11">
        <v>2</v>
      </c>
      <c r="E45" s="11">
        <f t="shared" ca="1" si="13"/>
        <v>1</v>
      </c>
      <c r="F45" s="10">
        <f t="array" aca="1" ref="F45" ca="1">IF(SUM(OFFSET(Factors,VALUE(RIGHT(F$34,2)),1,1,68))=0,"None",SQRT(SUM((OFFSET(Factors,VALUE(RIGHT(F$34,2)),1,1,68)-$R45:$CG45)^2)))</f>
        <v>2.7798256340201548</v>
      </c>
      <c r="G45" s="10">
        <f t="array" aca="1" ref="G45" ca="1">IF(SUM(OFFSET(Factors,VALUE(RIGHT(G$34,2)),1,1,68))=0,"None",SQRT(SUM((OFFSET(Factors,VALUE(RIGHT(G$34,2)),1,1,68)-$R45:$CG45)^2)))</f>
        <v>3.1189438358020456</v>
      </c>
      <c r="H45" s="10">
        <f t="array" aca="1" ref="H45" ca="1">IF(SUM(OFFSET(Factors,VALUE(RIGHT(H$34,2)),1,1,68))=0,"None",SQRT(SUM((OFFSET(Factors,VALUE(RIGHT(H$34,2)),1,1,68)-$R45:$CG45)^2)))</f>
        <v>3.2068266283385904</v>
      </c>
      <c r="I45" s="10">
        <f t="array" aca="1" ref="I45" ca="1">IF(SUM(OFFSET(Factors,VALUE(RIGHT(I$34,2)),1,1,68))=0,"None",SQRT(SUM((OFFSET(Factors,VALUE(RIGHT(I$34,2)),1,1,68)-$R45:$CG45)^2)))</f>
        <v>3.0858916495443052</v>
      </c>
      <c r="J45" s="10">
        <f t="array" aca="1" ref="J45" ca="1">IF(SUM(OFFSET(Factors,VALUE(RIGHT(J$34,2)),1,1,68))=0,"None",SQRT(SUM((OFFSET(Factors,VALUE(RIGHT(J$34,2)),1,1,68)-$R45:$CG45)^2)))</f>
        <v>3.2476914878109957</v>
      </c>
      <c r="K45" s="10" t="str">
        <f t="array" aca="1" ref="K45" ca="1">IF(SUM(OFFSET(Factors,VALUE(RIGHT(K$34,2)),1,1,68))=0,"None",SQRT(SUM((OFFSET(Factors,VALUE(RIGHT(K$34,2)),1,1,68)-$R45:$CG45)^2)))</f>
        <v>None</v>
      </c>
      <c r="L45" s="10" t="str">
        <f t="array" aca="1" ref="L45" ca="1">IF(SUM(OFFSET(Factors,VALUE(RIGHT(L$34,2)),1,1,68))=0,"None",SQRT(SUM((OFFSET(Factors,VALUE(RIGHT(L$34,2)),1,1,68)-$R45:$CG45)^2)))</f>
        <v>None</v>
      </c>
      <c r="M45" s="10" t="str">
        <f t="array" aca="1" ref="M45" ca="1">IF(SUM(OFFSET(Factors,VALUE(RIGHT(M$34,2)),1,1,68))=0,"None",SQRT(SUM((OFFSET(Factors,VALUE(RIGHT(M$34,2)),1,1,68)-$R45:$CG45)^2)))</f>
        <v>None</v>
      </c>
      <c r="N45" s="10" t="str">
        <f t="array" aca="1" ref="N45" ca="1">IF(SUM(OFFSET(Factors,VALUE(RIGHT(N$34,2)),1,1,68))=0,"None",SQRT(SUM((OFFSET(Factors,VALUE(RIGHT(N$34,2)),1,1,68)-$R45:$CG45)^2)))</f>
        <v>None</v>
      </c>
      <c r="O45" s="10" t="str">
        <f t="array" aca="1" ref="O45" ca="1">IF(SUM(OFFSET(Factors,VALUE(RIGHT(O$34,2)),1,1,68))=0,"None",SQRT(SUM((OFFSET(Factors,VALUE(RIGHT(O$34,2)),1,1,68)-$R45:$CG45)^2)))</f>
        <v>None</v>
      </c>
      <c r="Q45" s="10" t="s">
        <v>52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1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1</v>
      </c>
      <c r="AH45" s="11">
        <v>0</v>
      </c>
      <c r="AI45" s="11">
        <v>0</v>
      </c>
      <c r="AJ45" s="11">
        <v>1</v>
      </c>
      <c r="AK45" s="11">
        <v>0</v>
      </c>
      <c r="AL45" s="11">
        <v>1</v>
      </c>
      <c r="AM45" s="11">
        <v>0</v>
      </c>
      <c r="AN45" s="11">
        <v>0</v>
      </c>
      <c r="AO45" s="11">
        <v>1</v>
      </c>
      <c r="AP45" s="11">
        <v>0</v>
      </c>
      <c r="AQ45" s="11">
        <v>0</v>
      </c>
      <c r="AR45" s="11">
        <v>0</v>
      </c>
      <c r="AS45" s="11">
        <v>1</v>
      </c>
      <c r="AT45" s="11">
        <v>0</v>
      </c>
      <c r="AU45" s="11">
        <v>1</v>
      </c>
      <c r="AV45" s="11">
        <v>1</v>
      </c>
      <c r="AW45" s="11">
        <v>1</v>
      </c>
      <c r="AX45" s="11">
        <v>0</v>
      </c>
      <c r="AY45" s="11">
        <v>0</v>
      </c>
      <c r="AZ45" s="11">
        <v>0</v>
      </c>
      <c r="BA45" s="11">
        <v>0</v>
      </c>
      <c r="BB45" s="11">
        <v>0</v>
      </c>
      <c r="BC45" s="11">
        <v>0</v>
      </c>
      <c r="BD45" s="11">
        <v>0</v>
      </c>
      <c r="BE45" s="11">
        <v>0</v>
      </c>
      <c r="BF45" s="11">
        <v>1</v>
      </c>
      <c r="BG45" s="11">
        <v>0</v>
      </c>
      <c r="BH45" s="11">
        <v>0</v>
      </c>
      <c r="BI45" s="11">
        <v>0</v>
      </c>
      <c r="BJ45" s="11">
        <v>1</v>
      </c>
      <c r="BK45" s="11">
        <v>0</v>
      </c>
      <c r="BL45" s="11">
        <v>0</v>
      </c>
      <c r="BM45" s="11">
        <v>0</v>
      </c>
      <c r="BN45" s="11">
        <v>0</v>
      </c>
      <c r="BO45" s="11">
        <v>0</v>
      </c>
      <c r="BP45" s="11">
        <v>1</v>
      </c>
      <c r="BQ45" s="11">
        <v>0</v>
      </c>
      <c r="BR45" s="11">
        <v>0</v>
      </c>
      <c r="BS45" s="11">
        <v>0</v>
      </c>
      <c r="BT45" s="11">
        <v>0</v>
      </c>
      <c r="BU45" s="11">
        <v>1</v>
      </c>
      <c r="BV45" s="11">
        <v>0</v>
      </c>
      <c r="BW45" s="11">
        <v>0</v>
      </c>
      <c r="BX45" s="11">
        <v>0</v>
      </c>
      <c r="BY45" s="11">
        <v>1</v>
      </c>
      <c r="BZ45" s="11">
        <v>0</v>
      </c>
      <c r="CA45" s="11">
        <v>0</v>
      </c>
      <c r="CB45" s="11">
        <v>0</v>
      </c>
      <c r="CC45" s="11">
        <v>0</v>
      </c>
      <c r="CD45" s="11">
        <v>0</v>
      </c>
      <c r="CE45" s="11">
        <v>0</v>
      </c>
      <c r="CF45" s="11">
        <v>0</v>
      </c>
      <c r="CG45" s="11">
        <v>0</v>
      </c>
      <c r="CH45" s="11">
        <f ca="1">E45</f>
        <v>1</v>
      </c>
    </row>
    <row r="46" spans="2:86" x14ac:dyDescent="0.3">
      <c r="D46" s="11">
        <v>4</v>
      </c>
      <c r="E46" s="11">
        <f t="shared" ca="1" si="13"/>
        <v>1</v>
      </c>
      <c r="F46" s="10">
        <f t="array" aca="1" ref="F46" ca="1">IF(SUM(OFFSET(Factors,VALUE(RIGHT(F$34,2)),1,1,68))=0,"None",SQRT(SUM((OFFSET(Factors,VALUE(RIGHT(F$34,2)),1,1,68)-$R46:$CG46)^2)))</f>
        <v>2.8972568443654119</v>
      </c>
      <c r="G46" s="10">
        <f t="array" aca="1" ref="G46" ca="1">IF(SUM(OFFSET(Factors,VALUE(RIGHT(G$34,2)),1,1,68))=0,"None",SQRT(SUM((OFFSET(Factors,VALUE(RIGHT(G$34,2)),1,1,68)-$R46:$CG46)^2)))</f>
        <v>3.379366559459815</v>
      </c>
      <c r="H46" s="10">
        <f t="array" aca="1" ref="H46" ca="1">IF(SUM(OFFSET(Factors,VALUE(RIGHT(H$34,2)),1,1,68))=0,"None",SQRT(SUM((OFFSET(Factors,VALUE(RIGHT(H$34,2)),1,1,68)-$R46:$CG46)^2)))</f>
        <v>3.1699279024252891</v>
      </c>
      <c r="I46" s="10">
        <f t="array" aca="1" ref="I46" ca="1">IF(SUM(OFFSET(Factors,VALUE(RIGHT(I$34,2)),1,1,68))=0,"None",SQRT(SUM((OFFSET(Factors,VALUE(RIGHT(I$34,2)),1,1,68)-$R46:$CG46)^2)))</f>
        <v>3.243875347902148</v>
      </c>
      <c r="J46" s="10">
        <f t="array" aca="1" ref="J46" ca="1">IF(SUM(OFFSET(Factors,VALUE(RIGHT(J$34,2)),1,1,68))=0,"None",SQRT(SUM((OFFSET(Factors,VALUE(RIGHT(J$34,2)),1,1,68)-$R46:$CG46)^2)))</f>
        <v>3.0573681492420892</v>
      </c>
      <c r="K46" s="10" t="str">
        <f t="array" aca="1" ref="K46" ca="1">IF(SUM(OFFSET(Factors,VALUE(RIGHT(K$34,2)),1,1,68))=0,"None",SQRT(SUM((OFFSET(Factors,VALUE(RIGHT(K$34,2)),1,1,68)-$R46:$CG46)^2)))</f>
        <v>None</v>
      </c>
      <c r="L46" s="10" t="str">
        <f t="array" aca="1" ref="L46" ca="1">IF(SUM(OFFSET(Factors,VALUE(RIGHT(L$34,2)),1,1,68))=0,"None",SQRT(SUM((OFFSET(Factors,VALUE(RIGHT(L$34,2)),1,1,68)-$R46:$CG46)^2)))</f>
        <v>None</v>
      </c>
      <c r="M46" s="10" t="str">
        <f t="array" aca="1" ref="M46" ca="1">IF(SUM(OFFSET(Factors,VALUE(RIGHT(M$34,2)),1,1,68))=0,"None",SQRT(SUM((OFFSET(Factors,VALUE(RIGHT(M$34,2)),1,1,68)-$R46:$CG46)^2)))</f>
        <v>None</v>
      </c>
      <c r="N46" s="10" t="str">
        <f t="array" aca="1" ref="N46" ca="1">IF(SUM(OFFSET(Factors,VALUE(RIGHT(N$34,2)),1,1,68))=0,"None",SQRT(SUM((OFFSET(Factors,VALUE(RIGHT(N$34,2)),1,1,68)-$R46:$CG46)^2)))</f>
        <v>None</v>
      </c>
      <c r="O46" s="10" t="str">
        <f t="array" aca="1" ref="O46" ca="1">IF(SUM(OFFSET(Factors,VALUE(RIGHT(O$34,2)),1,1,68))=0,"None",SQRT(SUM((OFFSET(Factors,VALUE(RIGHT(O$34,2)),1,1,68)-$R46:$CG46)^2)))</f>
        <v>None</v>
      </c>
      <c r="Q46" s="10" t="s">
        <v>43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1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1</v>
      </c>
      <c r="AH46" s="11">
        <v>0</v>
      </c>
      <c r="AI46" s="11">
        <v>0</v>
      </c>
      <c r="AJ46" s="11">
        <v>0</v>
      </c>
      <c r="AK46" s="11">
        <v>0</v>
      </c>
      <c r="AL46" s="11">
        <v>1</v>
      </c>
      <c r="AM46" s="11">
        <v>0</v>
      </c>
      <c r="AN46" s="11">
        <v>1</v>
      </c>
      <c r="AO46" s="11">
        <v>1</v>
      </c>
      <c r="AP46" s="11">
        <v>0</v>
      </c>
      <c r="AQ46" s="11">
        <v>0</v>
      </c>
      <c r="AR46" s="11">
        <v>1</v>
      </c>
      <c r="AS46" s="11">
        <v>1</v>
      </c>
      <c r="AT46" s="11">
        <v>0</v>
      </c>
      <c r="AU46" s="11">
        <v>0</v>
      </c>
      <c r="AV46" s="11">
        <v>1</v>
      </c>
      <c r="AW46" s="11">
        <v>0</v>
      </c>
      <c r="AX46" s="11">
        <v>0</v>
      </c>
      <c r="AY46" s="11">
        <v>1</v>
      </c>
      <c r="AZ46" s="11">
        <v>0</v>
      </c>
      <c r="BA46" s="11">
        <v>0</v>
      </c>
      <c r="BB46" s="11">
        <v>1</v>
      </c>
      <c r="BC46" s="11">
        <v>1</v>
      </c>
      <c r="BD46" s="11">
        <v>0</v>
      </c>
      <c r="BE46" s="11">
        <v>0</v>
      </c>
      <c r="BF46" s="11">
        <v>0</v>
      </c>
      <c r="BG46" s="11">
        <v>0</v>
      </c>
      <c r="BH46" s="11">
        <v>0</v>
      </c>
      <c r="BI46" s="11">
        <v>0</v>
      </c>
      <c r="BJ46" s="11">
        <v>1</v>
      </c>
      <c r="BK46" s="11">
        <v>1</v>
      </c>
      <c r="BL46" s="11">
        <v>0</v>
      </c>
      <c r="BM46" s="11">
        <v>0</v>
      </c>
      <c r="BN46" s="11">
        <v>0</v>
      </c>
      <c r="BO46" s="11">
        <v>0</v>
      </c>
      <c r="BP46" s="11">
        <v>1</v>
      </c>
      <c r="BQ46" s="11">
        <v>0</v>
      </c>
      <c r="BR46" s="11">
        <v>0</v>
      </c>
      <c r="BS46" s="11">
        <v>0</v>
      </c>
      <c r="BT46" s="11">
        <v>0</v>
      </c>
      <c r="BU46" s="11">
        <v>0</v>
      </c>
      <c r="BV46" s="11">
        <v>0</v>
      </c>
      <c r="BW46" s="11">
        <v>0</v>
      </c>
      <c r="BX46" s="11">
        <v>0</v>
      </c>
      <c r="BY46" s="11">
        <v>0</v>
      </c>
      <c r="BZ46" s="11">
        <v>0</v>
      </c>
      <c r="CA46" s="11">
        <v>0</v>
      </c>
      <c r="CB46" s="11">
        <v>0</v>
      </c>
      <c r="CC46" s="11">
        <v>0</v>
      </c>
      <c r="CD46" s="11">
        <v>0</v>
      </c>
      <c r="CE46" s="11">
        <v>0</v>
      </c>
      <c r="CF46" s="11">
        <v>0</v>
      </c>
      <c r="CG46" s="11">
        <v>0</v>
      </c>
      <c r="CH46" s="11">
        <f ca="1">E46</f>
        <v>1</v>
      </c>
    </row>
    <row r="47" spans="2:86" x14ac:dyDescent="0.3">
      <c r="D47" s="11">
        <v>1</v>
      </c>
      <c r="E47" s="11">
        <f t="shared" ca="1" si="13"/>
        <v>1</v>
      </c>
      <c r="F47" s="10">
        <f t="array" aca="1" ref="F47" ca="1">IF(SUM(OFFSET(Factors,VALUE(RIGHT(F$34,2)),1,1,68))=0,"None",SQRT(SUM((OFFSET(Factors,VALUE(RIGHT(F$34,2)),1,1,68)-$R47:$CG47)^2)))</f>
        <v>2.7038424304846034</v>
      </c>
      <c r="G47" s="10">
        <f t="array" aca="1" ref="G47" ca="1">IF(SUM(OFFSET(Factors,VALUE(RIGHT(G$34,2)),1,1,68))=0,"None",SQRT(SUM((OFFSET(Factors,VALUE(RIGHT(G$34,2)),1,1,68)-$R47:$CG47)^2)))</f>
        <v>3.2041023999474669</v>
      </c>
      <c r="H47" s="10">
        <f t="array" aca="1" ref="H47" ca="1">IF(SUM(OFFSET(Factors,VALUE(RIGHT(H$34,2)),1,1,68))=0,"None",SQRT(SUM((OFFSET(Factors,VALUE(RIGHT(H$34,2)),1,1,68)-$R47:$CG47)^2)))</f>
        <v>2.9785856238052149</v>
      </c>
      <c r="I47" s="10">
        <f t="array" aca="1" ref="I47" ca="1">IF(SUM(OFFSET(Factors,VALUE(RIGHT(I$34,2)),1,1,68))=0,"None",SQRT(SUM((OFFSET(Factors,VALUE(RIGHT(I$34,2)),1,1,68)-$R47:$CG47)^2)))</f>
        <v>3.1442588373675027</v>
      </c>
      <c r="J47" s="10">
        <f t="array" aca="1" ref="J47" ca="1">IF(SUM(OFFSET(Factors,VALUE(RIGHT(J$34,2)),1,1,68))=0,"None",SQRT(SUM((OFFSET(Factors,VALUE(RIGHT(J$34,2)),1,1,68)-$R47:$CG47)^2)))</f>
        <v>3.3981612675092396</v>
      </c>
      <c r="K47" s="10" t="str">
        <f t="array" aca="1" ref="K47" ca="1">IF(SUM(OFFSET(Factors,VALUE(RIGHT(K$34,2)),1,1,68))=0,"None",SQRT(SUM((OFFSET(Factors,VALUE(RIGHT(K$34,2)),1,1,68)-$R47:$CG47)^2)))</f>
        <v>None</v>
      </c>
      <c r="L47" s="10" t="str">
        <f t="array" aca="1" ref="L47" ca="1">IF(SUM(OFFSET(Factors,VALUE(RIGHT(L$34,2)),1,1,68))=0,"None",SQRT(SUM((OFFSET(Factors,VALUE(RIGHT(L$34,2)),1,1,68)-$R47:$CG47)^2)))</f>
        <v>None</v>
      </c>
      <c r="M47" s="10" t="str">
        <f t="array" aca="1" ref="M47" ca="1">IF(SUM(OFFSET(Factors,VALUE(RIGHT(M$34,2)),1,1,68))=0,"None",SQRT(SUM((OFFSET(Factors,VALUE(RIGHT(M$34,2)),1,1,68)-$R47:$CG47)^2)))</f>
        <v>None</v>
      </c>
      <c r="N47" s="10" t="str">
        <f t="array" aca="1" ref="N47" ca="1">IF(SUM(OFFSET(Factors,VALUE(RIGHT(N$34,2)),1,1,68))=0,"None",SQRT(SUM((OFFSET(Factors,VALUE(RIGHT(N$34,2)),1,1,68)-$R47:$CG47)^2)))</f>
        <v>None</v>
      </c>
      <c r="O47" s="10" t="str">
        <f t="array" aca="1" ref="O47" ca="1">IF(SUM(OFFSET(Factors,VALUE(RIGHT(O$34,2)),1,1,68))=0,"None",SQRT(SUM((OFFSET(Factors,VALUE(RIGHT(O$34,2)),1,1,68)-$R47:$CG47)^2)))</f>
        <v>None</v>
      </c>
      <c r="Q47" s="10" t="s">
        <v>42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1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1</v>
      </c>
      <c r="AG47" s="11">
        <v>1</v>
      </c>
      <c r="AH47" s="11">
        <v>0</v>
      </c>
      <c r="AI47" s="11">
        <v>0</v>
      </c>
      <c r="AJ47" s="11">
        <v>0</v>
      </c>
      <c r="AK47" s="11">
        <v>1</v>
      </c>
      <c r="AL47" s="11">
        <v>0</v>
      </c>
      <c r="AM47" s="11">
        <v>0</v>
      </c>
      <c r="AN47" s="11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1</v>
      </c>
      <c r="AT47" s="11">
        <v>0</v>
      </c>
      <c r="AU47" s="11">
        <v>0</v>
      </c>
      <c r="AV47" s="11">
        <v>0</v>
      </c>
      <c r="AW47" s="11">
        <v>1</v>
      </c>
      <c r="AX47" s="11">
        <v>1</v>
      </c>
      <c r="AY47" s="11">
        <v>0</v>
      </c>
      <c r="AZ47" s="11">
        <v>0</v>
      </c>
      <c r="BA47" s="11">
        <v>1</v>
      </c>
      <c r="BB47" s="11">
        <v>0</v>
      </c>
      <c r="BC47" s="11">
        <v>0</v>
      </c>
      <c r="BD47" s="11">
        <v>0</v>
      </c>
      <c r="BE47" s="11">
        <v>0</v>
      </c>
      <c r="BF47" s="11">
        <v>0</v>
      </c>
      <c r="BG47" s="11">
        <v>0</v>
      </c>
      <c r="BH47" s="11">
        <v>0</v>
      </c>
      <c r="BI47" s="11">
        <v>1</v>
      </c>
      <c r="BJ47" s="11">
        <v>1</v>
      </c>
      <c r="BK47" s="11">
        <v>0</v>
      </c>
      <c r="BL47" s="11">
        <v>0</v>
      </c>
      <c r="BM47" s="11">
        <v>0</v>
      </c>
      <c r="BN47" s="11">
        <v>0</v>
      </c>
      <c r="BO47" s="11">
        <v>0</v>
      </c>
      <c r="BP47" s="11">
        <v>0</v>
      </c>
      <c r="BQ47" s="11">
        <v>0</v>
      </c>
      <c r="BR47" s="11">
        <v>0</v>
      </c>
      <c r="BS47" s="11">
        <v>0</v>
      </c>
      <c r="BT47" s="11">
        <v>0</v>
      </c>
      <c r="BU47" s="11">
        <v>0</v>
      </c>
      <c r="BV47" s="11">
        <v>1</v>
      </c>
      <c r="BW47" s="11">
        <v>0</v>
      </c>
      <c r="BX47" s="11">
        <v>1</v>
      </c>
      <c r="BY47" s="11">
        <v>1</v>
      </c>
      <c r="BZ47" s="11">
        <v>0</v>
      </c>
      <c r="CA47" s="11">
        <v>0</v>
      </c>
      <c r="CB47" s="11">
        <v>0</v>
      </c>
      <c r="CC47" s="11">
        <v>0</v>
      </c>
      <c r="CD47" s="11">
        <v>0</v>
      </c>
      <c r="CE47" s="11">
        <v>0</v>
      </c>
      <c r="CF47" s="11">
        <v>1</v>
      </c>
      <c r="CG47" s="11">
        <v>0</v>
      </c>
      <c r="CH47" s="11">
        <f ca="1">E47</f>
        <v>1</v>
      </c>
    </row>
    <row r="48" spans="2:86" x14ac:dyDescent="0.3">
      <c r="D48" s="11">
        <v>1</v>
      </c>
      <c r="E48" s="11">
        <f t="shared" ca="1" si="13"/>
        <v>1</v>
      </c>
      <c r="F48" s="10">
        <f t="array" aca="1" ref="F48" ca="1">IF(SUM(OFFSET(Factors,VALUE(RIGHT(F$34,2)),1,1,68))=0,"None",SQRT(SUM((OFFSET(Factors,VALUE(RIGHT(F$34,2)),1,1,68)-$R48:$CG48)^2)))</f>
        <v>2.4618618744537413</v>
      </c>
      <c r="G48" s="10">
        <f t="array" aca="1" ref="G48" ca="1">IF(SUM(OFFSET(Factors,VALUE(RIGHT(G$34,2)),1,1,68))=0,"None",SQRT(SUM((OFFSET(Factors,VALUE(RIGHT(G$34,2)),1,1,68)-$R48:$CG48)^2)))</f>
        <v>3.4358017590965071</v>
      </c>
      <c r="H48" s="10">
        <f t="array" aca="1" ref="H48" ca="1">IF(SUM(OFFSET(Factors,VALUE(RIGHT(H$34,2)),1,1,68))=0,"None",SQRT(SUM((OFFSET(Factors,VALUE(RIGHT(H$34,2)),1,1,68)-$R48:$CG48)^2)))</f>
        <v>3.179192733381567</v>
      </c>
      <c r="I48" s="10">
        <f t="array" aca="1" ref="I48" ca="1">IF(SUM(OFFSET(Factors,VALUE(RIGHT(I$34,2)),1,1,68))=0,"None",SQRT(SUM((OFFSET(Factors,VALUE(RIGHT(I$34,2)),1,1,68)-$R48:$CG48)^2)))</f>
        <v>3.3131967534803501</v>
      </c>
      <c r="J48" s="10">
        <f t="array" aca="1" ref="J48" ca="1">IF(SUM(OFFSET(Factors,VALUE(RIGHT(J$34,2)),1,1,68))=0,"None",SQRT(SUM((OFFSET(Factors,VALUE(RIGHT(J$34,2)),1,1,68)-$R48:$CG48)^2)))</f>
        <v>2.8543825952384165</v>
      </c>
      <c r="K48" s="10" t="str">
        <f t="array" aca="1" ref="K48" ca="1">IF(SUM(OFFSET(Factors,VALUE(RIGHT(K$34,2)),1,1,68))=0,"None",SQRT(SUM((OFFSET(Factors,VALUE(RIGHT(K$34,2)),1,1,68)-$R48:$CG48)^2)))</f>
        <v>None</v>
      </c>
      <c r="L48" s="10" t="str">
        <f t="array" aca="1" ref="L48" ca="1">IF(SUM(OFFSET(Factors,VALUE(RIGHT(L$34,2)),1,1,68))=0,"None",SQRT(SUM((OFFSET(Factors,VALUE(RIGHT(L$34,2)),1,1,68)-$R48:$CG48)^2)))</f>
        <v>None</v>
      </c>
      <c r="M48" s="10" t="str">
        <f t="array" aca="1" ref="M48" ca="1">IF(SUM(OFFSET(Factors,VALUE(RIGHT(M$34,2)),1,1,68))=0,"None",SQRT(SUM((OFFSET(Factors,VALUE(RIGHT(M$34,2)),1,1,68)-$R48:$CG48)^2)))</f>
        <v>None</v>
      </c>
      <c r="N48" s="10" t="str">
        <f t="array" aca="1" ref="N48" ca="1">IF(SUM(OFFSET(Factors,VALUE(RIGHT(N$34,2)),1,1,68))=0,"None",SQRT(SUM((OFFSET(Factors,VALUE(RIGHT(N$34,2)),1,1,68)-$R48:$CG48)^2)))</f>
        <v>None</v>
      </c>
      <c r="O48" s="10" t="str">
        <f t="array" aca="1" ref="O48" ca="1">IF(SUM(OFFSET(Factors,VALUE(RIGHT(O$34,2)),1,1,68))=0,"None",SQRT(SUM((OFFSET(Factors,VALUE(RIGHT(O$34,2)),1,1,68)-$R48:$CG48)^2)))</f>
        <v>None</v>
      </c>
      <c r="Q48" s="10" t="s">
        <v>40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1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1</v>
      </c>
      <c r="AG48" s="11">
        <v>1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11">
        <v>0</v>
      </c>
      <c r="AO48" s="11">
        <v>1</v>
      </c>
      <c r="AP48" s="11">
        <v>0</v>
      </c>
      <c r="AQ48" s="11">
        <v>0</v>
      </c>
      <c r="AR48" s="11">
        <v>1</v>
      </c>
      <c r="AS48" s="11">
        <v>1</v>
      </c>
      <c r="AT48" s="11">
        <v>1</v>
      </c>
      <c r="AU48" s="11">
        <v>0</v>
      </c>
      <c r="AV48" s="11">
        <v>0</v>
      </c>
      <c r="AW48" s="11">
        <v>0</v>
      </c>
      <c r="AX48" s="11">
        <v>0</v>
      </c>
      <c r="AY48" s="11">
        <v>0</v>
      </c>
      <c r="AZ48" s="11">
        <v>1</v>
      </c>
      <c r="BA48" s="11">
        <v>0</v>
      </c>
      <c r="BB48" s="11">
        <v>0</v>
      </c>
      <c r="BC48" s="11">
        <v>0</v>
      </c>
      <c r="BD48" s="11">
        <v>0</v>
      </c>
      <c r="BE48" s="11">
        <v>0</v>
      </c>
      <c r="BF48" s="11">
        <v>0</v>
      </c>
      <c r="BG48" s="11">
        <v>0</v>
      </c>
      <c r="BH48" s="11">
        <v>0</v>
      </c>
      <c r="BI48" s="11">
        <v>1</v>
      </c>
      <c r="BJ48" s="11">
        <v>1</v>
      </c>
      <c r="BK48" s="11">
        <v>1</v>
      </c>
      <c r="BL48" s="11">
        <v>0</v>
      </c>
      <c r="BM48" s="11">
        <v>0</v>
      </c>
      <c r="BN48" s="11">
        <v>0</v>
      </c>
      <c r="BO48" s="11">
        <v>0</v>
      </c>
      <c r="BP48" s="11">
        <v>0</v>
      </c>
      <c r="BQ48" s="11">
        <v>0</v>
      </c>
      <c r="BR48" s="11">
        <v>0</v>
      </c>
      <c r="BS48" s="11">
        <v>0</v>
      </c>
      <c r="BT48" s="11">
        <v>1</v>
      </c>
      <c r="BU48" s="11">
        <v>0</v>
      </c>
      <c r="BV48" s="11">
        <v>0</v>
      </c>
      <c r="BW48" s="11">
        <v>0</v>
      </c>
      <c r="BX48" s="11">
        <v>1</v>
      </c>
      <c r="BY48" s="11">
        <v>0</v>
      </c>
      <c r="BZ48" s="11">
        <v>0</v>
      </c>
      <c r="CA48" s="11">
        <v>0</v>
      </c>
      <c r="CB48" s="11">
        <v>0</v>
      </c>
      <c r="CC48" s="11">
        <v>0</v>
      </c>
      <c r="CD48" s="11">
        <v>0</v>
      </c>
      <c r="CE48" s="11">
        <v>0</v>
      </c>
      <c r="CF48" s="11">
        <v>0</v>
      </c>
      <c r="CG48" s="11">
        <v>0</v>
      </c>
      <c r="CH48" s="11">
        <f ca="1">E48</f>
        <v>1</v>
      </c>
    </row>
    <row r="49" spans="4:86" x14ac:dyDescent="0.3">
      <c r="D49" s="11">
        <v>2</v>
      </c>
      <c r="E49" s="11">
        <f t="shared" ca="1" si="13"/>
        <v>1</v>
      </c>
      <c r="F49" s="10">
        <f t="array" aca="1" ref="F49" ca="1">IF(SUM(OFFSET(Factors,VALUE(RIGHT(F$34,2)),1,1,68))=0,"None",SQRT(SUM((OFFSET(Factors,VALUE(RIGHT(F$34,2)),1,1,68)-$R49:$CG49)^2)))</f>
        <v>2.9962360647244659</v>
      </c>
      <c r="G49" s="10">
        <f t="array" aca="1" ref="G49" ca="1">IF(SUM(OFFSET(Factors,VALUE(RIGHT(G$34,2)),1,1,68))=0,"None",SQRT(SUM((OFFSET(Factors,VALUE(RIGHT(G$34,2)),1,1,68)-$R49:$CG49)^2)))</f>
        <v>3.0313939223443134</v>
      </c>
      <c r="H49" s="10">
        <f t="array" aca="1" ref="H49" ca="1">IF(SUM(OFFSET(Factors,VALUE(RIGHT(H$34,2)),1,1,68))=0,"None",SQRT(SUM((OFFSET(Factors,VALUE(RIGHT(H$34,2)),1,1,68)-$R49:$CG49)^2)))</f>
        <v>3.0372542690413145</v>
      </c>
      <c r="I49" s="10">
        <f t="array" aca="1" ref="I49" ca="1">IF(SUM(OFFSET(Factors,VALUE(RIGHT(I$34,2)),1,1,68))=0,"None",SQRT(SUM((OFFSET(Factors,VALUE(RIGHT(I$34,2)),1,1,68)-$R49:$CG49)^2)))</f>
        <v>3.0113421954639796</v>
      </c>
      <c r="J49" s="10">
        <f t="array" aca="1" ref="J49" ca="1">IF(SUM(OFFSET(Factors,VALUE(RIGHT(J$34,2)),1,1,68))=0,"None",SQRT(SUM((OFFSET(Factors,VALUE(RIGHT(J$34,2)),1,1,68)-$R49:$CG49)^2)))</f>
        <v>3.3834154341434344</v>
      </c>
      <c r="K49" s="10" t="str">
        <f t="array" aca="1" ref="K49" ca="1">IF(SUM(OFFSET(Factors,VALUE(RIGHT(K$34,2)),1,1,68))=0,"None",SQRT(SUM((OFFSET(Factors,VALUE(RIGHT(K$34,2)),1,1,68)-$R49:$CG49)^2)))</f>
        <v>None</v>
      </c>
      <c r="L49" s="10" t="str">
        <f t="array" aca="1" ref="L49" ca="1">IF(SUM(OFFSET(Factors,VALUE(RIGHT(L$34,2)),1,1,68))=0,"None",SQRT(SUM((OFFSET(Factors,VALUE(RIGHT(L$34,2)),1,1,68)-$R49:$CG49)^2)))</f>
        <v>None</v>
      </c>
      <c r="M49" s="10" t="str">
        <f t="array" aca="1" ref="M49" ca="1">IF(SUM(OFFSET(Factors,VALUE(RIGHT(M$34,2)),1,1,68))=0,"None",SQRT(SUM((OFFSET(Factors,VALUE(RIGHT(M$34,2)),1,1,68)-$R49:$CG49)^2)))</f>
        <v>None</v>
      </c>
      <c r="N49" s="10" t="str">
        <f t="array" aca="1" ref="N49" ca="1">IF(SUM(OFFSET(Factors,VALUE(RIGHT(N$34,2)),1,1,68))=0,"None",SQRT(SUM((OFFSET(Factors,VALUE(RIGHT(N$34,2)),1,1,68)-$R49:$CG49)^2)))</f>
        <v>None</v>
      </c>
      <c r="O49" s="10" t="str">
        <f t="array" aca="1" ref="O49" ca="1">IF(SUM(OFFSET(Factors,VALUE(RIGHT(O$34,2)),1,1,68))=0,"None",SQRT(SUM((OFFSET(Factors,VALUE(RIGHT(O$34,2)),1,1,68)-$R49:$CG49)^2)))</f>
        <v>None</v>
      </c>
      <c r="Q49" s="10" t="s">
        <v>38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1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1</v>
      </c>
      <c r="AG49" s="11">
        <v>0</v>
      </c>
      <c r="AH49" s="11">
        <v>0</v>
      </c>
      <c r="AI49" s="11">
        <v>0</v>
      </c>
      <c r="AJ49" s="11">
        <v>0</v>
      </c>
      <c r="AK49" s="11">
        <v>1</v>
      </c>
      <c r="AL49" s="11">
        <v>0</v>
      </c>
      <c r="AM49" s="11">
        <v>1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1</v>
      </c>
      <c r="AV49" s="11">
        <v>0</v>
      </c>
      <c r="AW49" s="11">
        <v>1</v>
      </c>
      <c r="AX49" s="11">
        <v>0</v>
      </c>
      <c r="AY49" s="11">
        <v>1</v>
      </c>
      <c r="AZ49" s="11">
        <v>0</v>
      </c>
      <c r="BA49" s="11">
        <v>1</v>
      </c>
      <c r="BB49" s="11">
        <v>0</v>
      </c>
      <c r="BC49" s="11">
        <v>0</v>
      </c>
      <c r="BD49" s="11">
        <v>0</v>
      </c>
      <c r="BE49" s="11">
        <v>0</v>
      </c>
      <c r="BF49" s="11">
        <v>0</v>
      </c>
      <c r="BG49" s="11">
        <v>0</v>
      </c>
      <c r="BH49" s="11">
        <v>0</v>
      </c>
      <c r="BI49" s="11">
        <v>0</v>
      </c>
      <c r="BJ49" s="11">
        <v>1</v>
      </c>
      <c r="BK49" s="11">
        <v>1</v>
      </c>
      <c r="BL49" s="11">
        <v>0</v>
      </c>
      <c r="BM49" s="11">
        <v>0</v>
      </c>
      <c r="BN49" s="11">
        <v>0</v>
      </c>
      <c r="BO49" s="11">
        <v>0</v>
      </c>
      <c r="BP49" s="11">
        <v>0</v>
      </c>
      <c r="BQ49" s="11">
        <v>0</v>
      </c>
      <c r="BR49" s="11">
        <v>0</v>
      </c>
      <c r="BS49" s="11">
        <v>1</v>
      </c>
      <c r="BT49" s="11">
        <v>0</v>
      </c>
      <c r="BU49" s="11">
        <v>0</v>
      </c>
      <c r="BV49" s="11">
        <v>0</v>
      </c>
      <c r="BW49" s="11">
        <v>0</v>
      </c>
      <c r="BX49" s="11">
        <v>0</v>
      </c>
      <c r="BY49" s="11">
        <v>0</v>
      </c>
      <c r="BZ49" s="11">
        <v>1</v>
      </c>
      <c r="CA49" s="11">
        <v>0</v>
      </c>
      <c r="CB49" s="11">
        <v>0</v>
      </c>
      <c r="CC49" s="11">
        <v>0</v>
      </c>
      <c r="CD49" s="11">
        <v>0</v>
      </c>
      <c r="CE49" s="11">
        <v>0</v>
      </c>
      <c r="CF49" s="11">
        <v>0</v>
      </c>
      <c r="CG49" s="11">
        <v>0</v>
      </c>
      <c r="CH49" s="11">
        <f ca="1">E49</f>
        <v>1</v>
      </c>
    </row>
    <row r="50" spans="4:86" x14ac:dyDescent="0.3">
      <c r="D50" s="11">
        <v>4</v>
      </c>
      <c r="E50" s="11">
        <f t="shared" ca="1" si="13"/>
        <v>1</v>
      </c>
      <c r="F50" s="10">
        <f t="array" aca="1" ref="F50" ca="1">IF(SUM(OFFSET(Factors,VALUE(RIGHT(F$34,2)),1,1,68))=0,"None",SQRT(SUM((OFFSET(Factors,VALUE(RIGHT(F$34,2)),1,1,68)-$R50:$CG50)^2)))</f>
        <v>2.9822973061420659</v>
      </c>
      <c r="G50" s="10">
        <f t="array" aca="1" ref="G50" ca="1">IF(SUM(OFFSET(Factors,VALUE(RIGHT(G$34,2)),1,1,68))=0,"None",SQRT(SUM((OFFSET(Factors,VALUE(RIGHT(G$34,2)),1,1,68)-$R50:$CG50)^2)))</f>
        <v>3.131251144161173</v>
      </c>
      <c r="H50" s="10">
        <f t="array" aca="1" ref="H50" ca="1">IF(SUM(OFFSET(Factors,VALUE(RIGHT(H$34,2)),1,1,68))=0,"None",SQRT(SUM((OFFSET(Factors,VALUE(RIGHT(H$34,2)),1,1,68)-$R50:$CG50)^2)))</f>
        <v>3.0948109265802128</v>
      </c>
      <c r="I50" s="10">
        <f t="array" aca="1" ref="I50" ca="1">IF(SUM(OFFSET(Factors,VALUE(RIGHT(I$34,2)),1,1,68))=0,"None",SQRT(SUM((OFFSET(Factors,VALUE(RIGHT(I$34,2)),1,1,68)-$R50:$CG50)^2)))</f>
        <v>3.326887707480044</v>
      </c>
      <c r="J50" s="10">
        <f t="array" aca="1" ref="J50" ca="1">IF(SUM(OFFSET(Factors,VALUE(RIGHT(J$34,2)),1,1,68))=0,"None",SQRT(SUM((OFFSET(Factors,VALUE(RIGHT(J$34,2)),1,1,68)-$R50:$CG50)^2)))</f>
        <v>3.4274626183227732</v>
      </c>
      <c r="K50" s="10" t="str">
        <f t="array" aca="1" ref="K50" ca="1">IF(SUM(OFFSET(Factors,VALUE(RIGHT(K$34,2)),1,1,68))=0,"None",SQRT(SUM((OFFSET(Factors,VALUE(RIGHT(K$34,2)),1,1,68)-$R50:$CG50)^2)))</f>
        <v>None</v>
      </c>
      <c r="L50" s="10" t="str">
        <f t="array" aca="1" ref="L50" ca="1">IF(SUM(OFFSET(Factors,VALUE(RIGHT(L$34,2)),1,1,68))=0,"None",SQRT(SUM((OFFSET(Factors,VALUE(RIGHT(L$34,2)),1,1,68)-$R50:$CG50)^2)))</f>
        <v>None</v>
      </c>
      <c r="M50" s="10" t="str">
        <f t="array" aca="1" ref="M50" ca="1">IF(SUM(OFFSET(Factors,VALUE(RIGHT(M$34,2)),1,1,68))=0,"None",SQRT(SUM((OFFSET(Factors,VALUE(RIGHT(M$34,2)),1,1,68)-$R50:$CG50)^2)))</f>
        <v>None</v>
      </c>
      <c r="N50" s="10" t="str">
        <f t="array" aca="1" ref="N50" ca="1">IF(SUM(OFFSET(Factors,VALUE(RIGHT(N$34,2)),1,1,68))=0,"None",SQRT(SUM((OFFSET(Factors,VALUE(RIGHT(N$34,2)),1,1,68)-$R50:$CG50)^2)))</f>
        <v>None</v>
      </c>
      <c r="O50" s="10" t="str">
        <f t="array" aca="1" ref="O50" ca="1">IF(SUM(OFFSET(Factors,VALUE(RIGHT(O$34,2)),1,1,68))=0,"None",SQRT(SUM((OFFSET(Factors,VALUE(RIGHT(O$34,2)),1,1,68)-$R50:$CG50)^2)))</f>
        <v>None</v>
      </c>
      <c r="Q50" s="10" t="s">
        <v>37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1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1</v>
      </c>
      <c r="AG50" s="11">
        <v>1</v>
      </c>
      <c r="AH50" s="11">
        <v>0</v>
      </c>
      <c r="AI50" s="11">
        <v>0</v>
      </c>
      <c r="AJ50" s="11">
        <v>0</v>
      </c>
      <c r="AK50" s="11">
        <v>1</v>
      </c>
      <c r="AL50" s="11">
        <v>1</v>
      </c>
      <c r="AM50" s="11">
        <v>1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11">
        <v>0</v>
      </c>
      <c r="AT50" s="11">
        <v>1</v>
      </c>
      <c r="AU50" s="11">
        <v>1</v>
      </c>
      <c r="AV50" s="11">
        <v>0</v>
      </c>
      <c r="AW50" s="11">
        <v>1</v>
      </c>
      <c r="AX50" s="11">
        <v>0</v>
      </c>
      <c r="AY50" s="11">
        <v>0</v>
      </c>
      <c r="AZ50" s="11">
        <v>0</v>
      </c>
      <c r="BA50" s="11">
        <v>0</v>
      </c>
      <c r="BB50" s="11">
        <v>0</v>
      </c>
      <c r="BC50" s="11">
        <v>0</v>
      </c>
      <c r="BD50" s="11">
        <v>0</v>
      </c>
      <c r="BE50" s="11">
        <v>0</v>
      </c>
      <c r="BF50" s="11">
        <v>0</v>
      </c>
      <c r="BG50" s="11">
        <v>0</v>
      </c>
      <c r="BH50" s="11">
        <v>0</v>
      </c>
      <c r="BI50" s="11">
        <v>0</v>
      </c>
      <c r="BJ50" s="11">
        <v>0</v>
      </c>
      <c r="BK50" s="11">
        <v>1</v>
      </c>
      <c r="BL50" s="11">
        <v>0</v>
      </c>
      <c r="BM50" s="11">
        <v>0</v>
      </c>
      <c r="BN50" s="11">
        <v>0</v>
      </c>
      <c r="BO50" s="11">
        <v>0</v>
      </c>
      <c r="BP50" s="11">
        <v>0</v>
      </c>
      <c r="BQ50" s="11">
        <v>0</v>
      </c>
      <c r="BR50" s="11">
        <v>1</v>
      </c>
      <c r="BS50" s="11">
        <v>0</v>
      </c>
      <c r="BT50" s="11">
        <v>0</v>
      </c>
      <c r="BU50" s="11">
        <v>0</v>
      </c>
      <c r="BV50" s="11">
        <v>1</v>
      </c>
      <c r="BW50" s="11">
        <v>0</v>
      </c>
      <c r="BX50" s="11">
        <v>0</v>
      </c>
      <c r="BY50" s="11">
        <v>0</v>
      </c>
      <c r="BZ50" s="11">
        <v>0</v>
      </c>
      <c r="CA50" s="11">
        <v>0</v>
      </c>
      <c r="CB50" s="11">
        <v>0</v>
      </c>
      <c r="CC50" s="11">
        <v>0</v>
      </c>
      <c r="CD50" s="11">
        <v>0</v>
      </c>
      <c r="CE50" s="11">
        <v>0</v>
      </c>
      <c r="CF50" s="11">
        <v>0</v>
      </c>
      <c r="CG50" s="11">
        <v>0</v>
      </c>
      <c r="CH50" s="11">
        <f ca="1">E50</f>
        <v>1</v>
      </c>
    </row>
    <row r="51" spans="4:86" x14ac:dyDescent="0.3">
      <c r="D51" s="11">
        <v>3</v>
      </c>
      <c r="E51" s="11">
        <f t="shared" ca="1" si="13"/>
        <v>1</v>
      </c>
      <c r="F51" s="10">
        <f t="array" aca="1" ref="F51" ca="1">IF(SUM(OFFSET(Factors,VALUE(RIGHT(F$34,2)),1,1,68))=0,"None",SQRT(SUM((OFFSET(Factors,VALUE(RIGHT(F$34,2)),1,1,68)-$R51:$CG51)^2)))</f>
        <v>2.925878310676794</v>
      </c>
      <c r="G51" s="10">
        <f t="array" aca="1" ref="G51" ca="1">IF(SUM(OFFSET(Factors,VALUE(RIGHT(G$34,2)),1,1,68))=0,"None",SQRT(SUM((OFFSET(Factors,VALUE(RIGHT(G$34,2)),1,1,68)-$R51:$CG51)^2)))</f>
        <v>3.1435102679542388</v>
      </c>
      <c r="H51" s="10">
        <f t="array" aca="1" ref="H51" ca="1">IF(SUM(OFFSET(Factors,VALUE(RIGHT(H$34,2)),1,1,68))=0,"None",SQRT(SUM((OFFSET(Factors,VALUE(RIGHT(H$34,2)),1,1,68)-$R51:$CG51)^2)))</f>
        <v>3.1513165261126757</v>
      </c>
      <c r="I51" s="10">
        <f t="array" aca="1" ref="I51" ca="1">IF(SUM(OFFSET(Factors,VALUE(RIGHT(I$34,2)),1,1,68))=0,"None",SQRT(SUM((OFFSET(Factors,VALUE(RIGHT(I$34,2)),1,1,68)-$R51:$CG51)^2)))</f>
        <v>3.2015621187164247</v>
      </c>
      <c r="J51" s="10">
        <f t="array" aca="1" ref="J51" ca="1">IF(SUM(OFFSET(Factors,VALUE(RIGHT(J$34,2)),1,1,68))=0,"None",SQRT(SUM((OFFSET(Factors,VALUE(RIGHT(J$34,2)),1,1,68)-$R51:$CG51)^2)))</f>
        <v>3.4420197558991434</v>
      </c>
      <c r="K51" s="10" t="str">
        <f t="array" aca="1" ref="K51" ca="1">IF(SUM(OFFSET(Factors,VALUE(RIGHT(K$34,2)),1,1,68))=0,"None",SQRT(SUM((OFFSET(Factors,VALUE(RIGHT(K$34,2)),1,1,68)-$R51:$CG51)^2)))</f>
        <v>None</v>
      </c>
      <c r="L51" s="10" t="str">
        <f t="array" aca="1" ref="L51" ca="1">IF(SUM(OFFSET(Factors,VALUE(RIGHT(L$34,2)),1,1,68))=0,"None",SQRT(SUM((OFFSET(Factors,VALUE(RIGHT(L$34,2)),1,1,68)-$R51:$CG51)^2)))</f>
        <v>None</v>
      </c>
      <c r="M51" s="10" t="str">
        <f t="array" aca="1" ref="M51" ca="1">IF(SUM(OFFSET(Factors,VALUE(RIGHT(M$34,2)),1,1,68))=0,"None",SQRT(SUM((OFFSET(Factors,VALUE(RIGHT(M$34,2)),1,1,68)-$R51:$CG51)^2)))</f>
        <v>None</v>
      </c>
      <c r="N51" s="10" t="str">
        <f t="array" aca="1" ref="N51" ca="1">IF(SUM(OFFSET(Factors,VALUE(RIGHT(N$34,2)),1,1,68))=0,"None",SQRT(SUM((OFFSET(Factors,VALUE(RIGHT(N$34,2)),1,1,68)-$R51:$CG51)^2)))</f>
        <v>None</v>
      </c>
      <c r="O51" s="10" t="str">
        <f t="array" aca="1" ref="O51" ca="1">IF(SUM(OFFSET(Factors,VALUE(RIGHT(O$34,2)),1,1,68))=0,"None",SQRT(SUM((OFFSET(Factors,VALUE(RIGHT(O$34,2)),1,1,68)-$R51:$CG51)^2)))</f>
        <v>None</v>
      </c>
      <c r="Q51" s="10" t="s">
        <v>35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1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1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1</v>
      </c>
      <c r="AO51" s="11">
        <v>0</v>
      </c>
      <c r="AP51" s="11">
        <v>0</v>
      </c>
      <c r="AQ51" s="11">
        <v>0</v>
      </c>
      <c r="AR51" s="11">
        <v>1</v>
      </c>
      <c r="AS51" s="11">
        <v>0</v>
      </c>
      <c r="AT51" s="11">
        <v>0</v>
      </c>
      <c r="AU51" s="11">
        <v>0</v>
      </c>
      <c r="AV51" s="11">
        <v>0</v>
      </c>
      <c r="AW51" s="11">
        <v>1</v>
      </c>
      <c r="AX51" s="11">
        <v>0</v>
      </c>
      <c r="AY51" s="11">
        <v>0</v>
      </c>
      <c r="AZ51" s="11">
        <v>0</v>
      </c>
      <c r="BA51" s="11">
        <v>0</v>
      </c>
      <c r="BB51" s="11">
        <v>0</v>
      </c>
      <c r="BC51" s="11">
        <v>0</v>
      </c>
      <c r="BD51" s="11">
        <v>1</v>
      </c>
      <c r="BE51" s="11">
        <v>0</v>
      </c>
      <c r="BF51" s="11">
        <v>0</v>
      </c>
      <c r="BG51" s="11">
        <v>1</v>
      </c>
      <c r="BH51" s="11">
        <v>0</v>
      </c>
      <c r="BI51" s="11">
        <v>0</v>
      </c>
      <c r="BJ51" s="11">
        <v>0</v>
      </c>
      <c r="BK51" s="11">
        <v>1</v>
      </c>
      <c r="BL51" s="11">
        <v>0</v>
      </c>
      <c r="BM51" s="11">
        <v>0</v>
      </c>
      <c r="BN51" s="11">
        <v>0</v>
      </c>
      <c r="BO51" s="11">
        <v>0</v>
      </c>
      <c r="BP51" s="11">
        <v>0</v>
      </c>
      <c r="BQ51" s="11">
        <v>0</v>
      </c>
      <c r="BR51" s="11">
        <v>0</v>
      </c>
      <c r="BS51" s="11">
        <v>0</v>
      </c>
      <c r="BT51" s="11">
        <v>1</v>
      </c>
      <c r="BU51" s="11">
        <v>0</v>
      </c>
      <c r="BV51" s="11">
        <v>1</v>
      </c>
      <c r="BW51" s="11">
        <v>0</v>
      </c>
      <c r="BX51" s="11">
        <v>0</v>
      </c>
      <c r="BY51" s="11">
        <v>0</v>
      </c>
      <c r="BZ51" s="11">
        <v>0</v>
      </c>
      <c r="CA51" s="11">
        <v>0</v>
      </c>
      <c r="CB51" s="11">
        <v>0</v>
      </c>
      <c r="CC51" s="11">
        <v>0</v>
      </c>
      <c r="CD51" s="11">
        <v>0</v>
      </c>
      <c r="CE51" s="11">
        <v>0</v>
      </c>
      <c r="CF51" s="11">
        <v>0</v>
      </c>
      <c r="CG51" s="11">
        <v>0</v>
      </c>
      <c r="CH51" s="11">
        <f ca="1">E51</f>
        <v>1</v>
      </c>
    </row>
    <row r="52" spans="4:86" x14ac:dyDescent="0.3">
      <c r="D52" s="11">
        <v>4</v>
      </c>
      <c r="E52" s="11">
        <f t="shared" ca="1" si="13"/>
        <v>1</v>
      </c>
      <c r="F52" s="10">
        <f t="array" aca="1" ref="F52" ca="1">IF(SUM(OFFSET(Factors,VALUE(RIGHT(F$34,2)),1,1,68))=0,"None",SQRT(SUM((OFFSET(Factors,VALUE(RIGHT(F$34,2)),1,1,68)-$R52:$CG52)^2)))</f>
        <v>3.3507358230029944</v>
      </c>
      <c r="G52" s="10">
        <f t="array" aca="1" ref="G52" ca="1">IF(SUM(OFFSET(Factors,VALUE(RIGHT(G$34,2)),1,1,68))=0,"None",SQRT(SUM((OFFSET(Factors,VALUE(RIGHT(G$34,2)),1,1,68)-$R52:$CG52)^2)))</f>
        <v>3.5891025068579099</v>
      </c>
      <c r="H52" s="10">
        <f t="array" aca="1" ref="H52" ca="1">IF(SUM(OFFSET(Factors,VALUE(RIGHT(H$34,2)),1,1,68))=0,"None",SQRT(SUM((OFFSET(Factors,VALUE(RIGHT(H$34,2)),1,1,68)-$R52:$CG52)^2)))</f>
        <v>3.8868067145133627</v>
      </c>
      <c r="I52" s="10">
        <f t="array" aca="1" ref="I52" ca="1">IF(SUM(OFFSET(Factors,VALUE(RIGHT(I$34,2)),1,1,68))=0,"None",SQRT(SUM((OFFSET(Factors,VALUE(RIGHT(I$34,2)),1,1,68)-$R52:$CG52)^2)))</f>
        <v>3.6649444991456805</v>
      </c>
      <c r="J52" s="10">
        <f t="array" aca="1" ref="J52" ca="1">IF(SUM(OFFSET(Factors,VALUE(RIGHT(J$34,2)),1,1,68))=0,"None",SQRT(SUM((OFFSET(Factors,VALUE(RIGHT(J$34,2)),1,1,68)-$R52:$CG52)^2)))</f>
        <v>3.9048047326338873</v>
      </c>
      <c r="K52" s="10" t="str">
        <f t="array" aca="1" ref="K52" ca="1">IF(SUM(OFFSET(Factors,VALUE(RIGHT(K$34,2)),1,1,68))=0,"None",SQRT(SUM((OFFSET(Factors,VALUE(RIGHT(K$34,2)),1,1,68)-$R52:$CG52)^2)))</f>
        <v>None</v>
      </c>
      <c r="L52" s="10" t="str">
        <f t="array" aca="1" ref="L52" ca="1">IF(SUM(OFFSET(Factors,VALUE(RIGHT(L$34,2)),1,1,68))=0,"None",SQRT(SUM((OFFSET(Factors,VALUE(RIGHT(L$34,2)),1,1,68)-$R52:$CG52)^2)))</f>
        <v>None</v>
      </c>
      <c r="M52" s="10" t="str">
        <f t="array" aca="1" ref="M52" ca="1">IF(SUM(OFFSET(Factors,VALUE(RIGHT(M$34,2)),1,1,68))=0,"None",SQRT(SUM((OFFSET(Factors,VALUE(RIGHT(M$34,2)),1,1,68)-$R52:$CG52)^2)))</f>
        <v>None</v>
      </c>
      <c r="N52" s="10" t="str">
        <f t="array" aca="1" ref="N52" ca="1">IF(SUM(OFFSET(Factors,VALUE(RIGHT(N$34,2)),1,1,68))=0,"None",SQRT(SUM((OFFSET(Factors,VALUE(RIGHT(N$34,2)),1,1,68)-$R52:$CG52)^2)))</f>
        <v>None</v>
      </c>
      <c r="O52" s="10" t="str">
        <f t="array" aca="1" ref="O52" ca="1">IF(SUM(OFFSET(Factors,VALUE(RIGHT(O$34,2)),1,1,68))=0,"None",SQRT(SUM((OFFSET(Factors,VALUE(RIGHT(O$34,2)),1,1,68)-$R52:$CG52)^2)))</f>
        <v>None</v>
      </c>
      <c r="Q52" s="10" t="s">
        <v>34</v>
      </c>
      <c r="R52" s="11">
        <v>0</v>
      </c>
      <c r="S52" s="11">
        <v>0</v>
      </c>
      <c r="T52" s="11">
        <v>0</v>
      </c>
      <c r="U52" s="11">
        <v>0</v>
      </c>
      <c r="V52" s="11">
        <v>1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1</v>
      </c>
      <c r="AG52" s="11">
        <v>1</v>
      </c>
      <c r="AH52" s="11">
        <v>0</v>
      </c>
      <c r="AI52" s="11">
        <v>0</v>
      </c>
      <c r="AJ52" s="11">
        <v>0</v>
      </c>
      <c r="AK52" s="11">
        <v>1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1">
        <v>0</v>
      </c>
      <c r="AV52" s="11">
        <v>1</v>
      </c>
      <c r="AW52" s="11">
        <v>1</v>
      </c>
      <c r="AX52" s="11">
        <v>0</v>
      </c>
      <c r="AY52" s="11">
        <v>0</v>
      </c>
      <c r="AZ52" s="11">
        <v>0</v>
      </c>
      <c r="BA52" s="11">
        <v>0</v>
      </c>
      <c r="BB52" s="11">
        <v>0</v>
      </c>
      <c r="BC52" s="11">
        <v>0</v>
      </c>
      <c r="BD52" s="11">
        <v>0</v>
      </c>
      <c r="BE52" s="11">
        <v>1</v>
      </c>
      <c r="BF52" s="11">
        <v>0</v>
      </c>
      <c r="BG52" s="11">
        <v>1</v>
      </c>
      <c r="BH52" s="11">
        <v>1</v>
      </c>
      <c r="BI52" s="11">
        <v>0</v>
      </c>
      <c r="BJ52" s="11">
        <v>1</v>
      </c>
      <c r="BK52" s="11">
        <v>1</v>
      </c>
      <c r="BL52" s="11">
        <v>0</v>
      </c>
      <c r="BM52" s="11">
        <v>1</v>
      </c>
      <c r="BN52" s="11">
        <v>0</v>
      </c>
      <c r="BO52" s="11">
        <v>0</v>
      </c>
      <c r="BP52" s="11">
        <v>0</v>
      </c>
      <c r="BQ52" s="11">
        <v>0</v>
      </c>
      <c r="BR52" s="11">
        <v>0</v>
      </c>
      <c r="BS52" s="11">
        <v>1</v>
      </c>
      <c r="BT52" s="11">
        <v>1</v>
      </c>
      <c r="BU52" s="11">
        <v>1</v>
      </c>
      <c r="BV52" s="11">
        <v>0</v>
      </c>
      <c r="BW52" s="11">
        <v>1</v>
      </c>
      <c r="BX52" s="11">
        <v>1</v>
      </c>
      <c r="BY52" s="11">
        <v>1</v>
      </c>
      <c r="BZ52" s="11">
        <v>0</v>
      </c>
      <c r="CA52" s="11">
        <v>0</v>
      </c>
      <c r="CB52" s="11">
        <v>0</v>
      </c>
      <c r="CC52" s="11">
        <v>0</v>
      </c>
      <c r="CD52" s="11">
        <v>0</v>
      </c>
      <c r="CE52" s="11">
        <v>0</v>
      </c>
      <c r="CF52" s="11">
        <v>0</v>
      </c>
      <c r="CG52" s="11">
        <v>0</v>
      </c>
      <c r="CH52" s="11">
        <f ca="1">E52</f>
        <v>1</v>
      </c>
    </row>
    <row r="53" spans="4:86" x14ac:dyDescent="0.3">
      <c r="D53" s="11">
        <v>2</v>
      </c>
      <c r="E53" s="11">
        <f t="shared" ca="1" si="13"/>
        <v>1</v>
      </c>
      <c r="F53" s="10">
        <f t="array" aca="1" ref="F53" ca="1">IF(SUM(OFFSET(Factors,VALUE(RIGHT(F$34,2)),1,1,68))=0,"None",SQRT(SUM((OFFSET(Factors,VALUE(RIGHT(F$34,2)),1,1,68)-$R53:$CG53)^2)))</f>
        <v>2.495482028698174</v>
      </c>
      <c r="G53" s="10">
        <f t="array" aca="1" ref="G53" ca="1">IF(SUM(OFFSET(Factors,VALUE(RIGHT(G$34,2)),1,1,68))=0,"None",SQRT(SUM((OFFSET(Factors,VALUE(RIGHT(G$34,2)),1,1,68)-$R53:$CG53)^2)))</f>
        <v>2.8751125524662706</v>
      </c>
      <c r="H53" s="10">
        <f t="array" aca="1" ref="H53" ca="1">IF(SUM(OFFSET(Factors,VALUE(RIGHT(H$34,2)),1,1,68))=0,"None",SQRT(SUM((OFFSET(Factors,VALUE(RIGHT(H$34,2)),1,1,68)-$R53:$CG53)^2)))</f>
        <v>2.8576371297626166</v>
      </c>
      <c r="I53" s="10">
        <f t="array" aca="1" ref="I53" ca="1">IF(SUM(OFFSET(Factors,VALUE(RIGHT(I$34,2)),1,1,68))=0,"None",SQRT(SUM((OFFSET(Factors,VALUE(RIGHT(I$34,2)),1,1,68)-$R53:$CG53)^2)))</f>
        <v>2.5361029517387856</v>
      </c>
      <c r="J53" s="10">
        <f t="array" aca="1" ref="J53" ca="1">IF(SUM(OFFSET(Factors,VALUE(RIGHT(J$34,2)),1,1,68))=0,"None",SQRT(SUM((OFFSET(Factors,VALUE(RIGHT(J$34,2)),1,1,68)-$R53:$CG53)^2)))</f>
        <v>2.8892040426387333</v>
      </c>
      <c r="K53" s="10" t="str">
        <f t="array" aca="1" ref="K53" ca="1">IF(SUM(OFFSET(Factors,VALUE(RIGHT(K$34,2)),1,1,68))=0,"None",SQRT(SUM((OFFSET(Factors,VALUE(RIGHT(K$34,2)),1,1,68)-$R53:$CG53)^2)))</f>
        <v>None</v>
      </c>
      <c r="L53" s="10" t="str">
        <f t="array" aca="1" ref="L53" ca="1">IF(SUM(OFFSET(Factors,VALUE(RIGHT(L$34,2)),1,1,68))=0,"None",SQRT(SUM((OFFSET(Factors,VALUE(RIGHT(L$34,2)),1,1,68)-$R53:$CG53)^2)))</f>
        <v>None</v>
      </c>
      <c r="M53" s="10" t="str">
        <f t="array" aca="1" ref="M53" ca="1">IF(SUM(OFFSET(Factors,VALUE(RIGHT(M$34,2)),1,1,68))=0,"None",SQRT(SUM((OFFSET(Factors,VALUE(RIGHT(M$34,2)),1,1,68)-$R53:$CG53)^2)))</f>
        <v>None</v>
      </c>
      <c r="N53" s="10" t="str">
        <f t="array" aca="1" ref="N53" ca="1">IF(SUM(OFFSET(Factors,VALUE(RIGHT(N$34,2)),1,1,68))=0,"None",SQRT(SUM((OFFSET(Factors,VALUE(RIGHT(N$34,2)),1,1,68)-$R53:$CG53)^2)))</f>
        <v>None</v>
      </c>
      <c r="O53" s="10" t="str">
        <f t="array" aca="1" ref="O53" ca="1">IF(SUM(OFFSET(Factors,VALUE(RIGHT(O$34,2)),1,1,68))=0,"None",SQRT(SUM((OFFSET(Factors,VALUE(RIGHT(O$34,2)),1,1,68)-$R53:$CG53)^2)))</f>
        <v>None</v>
      </c>
      <c r="Q53" s="10" t="s">
        <v>28</v>
      </c>
      <c r="R53" s="11">
        <v>1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1</v>
      </c>
      <c r="AH53" s="11">
        <v>1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11">
        <v>0</v>
      </c>
      <c r="AO53" s="11">
        <v>0</v>
      </c>
      <c r="AP53" s="11">
        <v>0</v>
      </c>
      <c r="AQ53" s="11">
        <v>0</v>
      </c>
      <c r="AR53" s="11">
        <v>1</v>
      </c>
      <c r="AS53" s="11">
        <v>1</v>
      </c>
      <c r="AT53" s="11">
        <v>0</v>
      </c>
      <c r="AU53" s="11">
        <v>0</v>
      </c>
      <c r="AV53" s="11">
        <v>0</v>
      </c>
      <c r="AW53" s="11">
        <v>1</v>
      </c>
      <c r="AX53" s="11">
        <v>0</v>
      </c>
      <c r="AY53" s="11">
        <v>0</v>
      </c>
      <c r="AZ53" s="11">
        <v>0</v>
      </c>
      <c r="BA53" s="11">
        <v>0</v>
      </c>
      <c r="BB53" s="11">
        <v>0</v>
      </c>
      <c r="BC53" s="11">
        <v>0</v>
      </c>
      <c r="BD53" s="11">
        <v>0</v>
      </c>
      <c r="BE53" s="11">
        <v>0</v>
      </c>
      <c r="BF53" s="11">
        <v>0</v>
      </c>
      <c r="BG53" s="11">
        <v>0</v>
      </c>
      <c r="BH53" s="11">
        <v>0</v>
      </c>
      <c r="BI53" s="11">
        <v>0</v>
      </c>
      <c r="BJ53" s="11">
        <v>1</v>
      </c>
      <c r="BK53" s="11">
        <v>0</v>
      </c>
      <c r="BL53" s="11">
        <v>0</v>
      </c>
      <c r="BM53" s="11">
        <v>0</v>
      </c>
      <c r="BN53" s="11">
        <v>0</v>
      </c>
      <c r="BO53" s="11">
        <v>0</v>
      </c>
      <c r="BP53" s="11">
        <v>1</v>
      </c>
      <c r="BQ53" s="11">
        <v>0</v>
      </c>
      <c r="BR53" s="11">
        <v>0</v>
      </c>
      <c r="BS53" s="11">
        <v>0</v>
      </c>
      <c r="BT53" s="11">
        <v>1</v>
      </c>
      <c r="BU53" s="11">
        <v>0</v>
      </c>
      <c r="BV53" s="11">
        <v>1</v>
      </c>
      <c r="BW53" s="11">
        <v>0</v>
      </c>
      <c r="BX53" s="11">
        <v>0</v>
      </c>
      <c r="BY53" s="11">
        <v>0</v>
      </c>
      <c r="BZ53" s="11">
        <v>0</v>
      </c>
      <c r="CA53" s="11">
        <v>0</v>
      </c>
      <c r="CB53" s="11">
        <v>0</v>
      </c>
      <c r="CC53" s="11">
        <v>0</v>
      </c>
      <c r="CD53" s="11">
        <v>0</v>
      </c>
      <c r="CE53" s="11">
        <v>0</v>
      </c>
      <c r="CF53" s="11">
        <v>0</v>
      </c>
      <c r="CG53" s="11">
        <v>0</v>
      </c>
      <c r="CH53" s="11">
        <f ca="1">E53</f>
        <v>1</v>
      </c>
    </row>
    <row r="54" spans="4:86" x14ac:dyDescent="0.3">
      <c r="D54" s="11">
        <v>2</v>
      </c>
      <c r="E54" s="11">
        <f t="shared" ca="1" si="13"/>
        <v>1</v>
      </c>
      <c r="F54" s="10">
        <f t="array" aca="1" ref="F54" ca="1">IF(SUM(OFFSET(Factors,VALUE(RIGHT(F$34,2)),1,1,68))=0,"None",SQRT(SUM((OFFSET(Factors,VALUE(RIGHT(F$34,2)),1,1,68)-$R54:$CG54)^2)))</f>
        <v>2.3932050801290634</v>
      </c>
      <c r="G54" s="10">
        <f t="array" aca="1" ref="G54" ca="1">IF(SUM(OFFSET(Factors,VALUE(RIGHT(G$34,2)),1,1,68))=0,"None",SQRT(SUM((OFFSET(Factors,VALUE(RIGHT(G$34,2)),1,1,68)-$R54:$CG54)^2)))</f>
        <v>3.1557217687332337</v>
      </c>
      <c r="H54" s="10">
        <f t="array" aca="1" ref="H54" ca="1">IF(SUM(OFFSET(Factors,VALUE(RIGHT(H$34,2)),1,1,68))=0,"None",SQRT(SUM((OFFSET(Factors,VALUE(RIGHT(H$34,2)),1,1,68)-$R54:$CG54)^2)))</f>
        <v>3.037254269041314</v>
      </c>
      <c r="I54" s="10">
        <f t="array" aca="1" ref="I54" ca="1">IF(SUM(OFFSET(Factors,VALUE(RIGHT(I$34,2)),1,1,68))=0,"None",SQRT(SUM((OFFSET(Factors,VALUE(RIGHT(I$34,2)),1,1,68)-$R54:$CG54)^2)))</f>
        <v>2.8564122442481779</v>
      </c>
      <c r="J54" s="10">
        <f t="array" aca="1" ref="J54" ca="1">IF(SUM(OFFSET(Factors,VALUE(RIGHT(J$34,2)),1,1,68))=0,"None",SQRT(SUM((OFFSET(Factors,VALUE(RIGHT(J$34,2)),1,1,68)-$R54:$CG54)^2)))</f>
        <v>2.8368115905008571</v>
      </c>
      <c r="K54" s="10" t="str">
        <f t="array" aca="1" ref="K54" ca="1">IF(SUM(OFFSET(Factors,VALUE(RIGHT(K$34,2)),1,1,68))=0,"None",SQRT(SUM((OFFSET(Factors,VALUE(RIGHT(K$34,2)),1,1,68)-$R54:$CG54)^2)))</f>
        <v>None</v>
      </c>
      <c r="L54" s="10" t="str">
        <f t="array" aca="1" ref="L54" ca="1">IF(SUM(OFFSET(Factors,VALUE(RIGHT(L$34,2)),1,1,68))=0,"None",SQRT(SUM((OFFSET(Factors,VALUE(RIGHT(L$34,2)),1,1,68)-$R54:$CG54)^2)))</f>
        <v>None</v>
      </c>
      <c r="M54" s="10" t="str">
        <f t="array" aca="1" ref="M54" ca="1">IF(SUM(OFFSET(Factors,VALUE(RIGHT(M$34,2)),1,1,68))=0,"None",SQRT(SUM((OFFSET(Factors,VALUE(RIGHT(M$34,2)),1,1,68)-$R54:$CG54)^2)))</f>
        <v>None</v>
      </c>
      <c r="N54" s="10" t="str">
        <f t="array" aca="1" ref="N54" ca="1">IF(SUM(OFFSET(Factors,VALUE(RIGHT(N$34,2)),1,1,68))=0,"None",SQRT(SUM((OFFSET(Factors,VALUE(RIGHT(N$34,2)),1,1,68)-$R54:$CG54)^2)))</f>
        <v>None</v>
      </c>
      <c r="O54" s="10" t="str">
        <f t="array" aca="1" ref="O54" ca="1">IF(SUM(OFFSET(Factors,VALUE(RIGHT(O$34,2)),1,1,68))=0,"None",SQRT(SUM((OFFSET(Factors,VALUE(RIGHT(O$34,2)),1,1,68)-$R54:$CG54)^2)))</f>
        <v>None</v>
      </c>
      <c r="Q54" s="10" t="s">
        <v>27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1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1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11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1</v>
      </c>
      <c r="AT54" s="11">
        <v>1</v>
      </c>
      <c r="AU54" s="11">
        <v>0</v>
      </c>
      <c r="AV54" s="11">
        <v>1</v>
      </c>
      <c r="AW54" s="11">
        <v>0</v>
      </c>
      <c r="AX54" s="11">
        <v>0</v>
      </c>
      <c r="AY54" s="11">
        <v>0</v>
      </c>
      <c r="AZ54" s="11">
        <v>0</v>
      </c>
      <c r="BA54" s="11">
        <v>0</v>
      </c>
      <c r="BB54" s="11">
        <v>0</v>
      </c>
      <c r="BC54" s="11">
        <v>0</v>
      </c>
      <c r="BD54" s="11">
        <v>1</v>
      </c>
      <c r="BE54" s="11">
        <v>0</v>
      </c>
      <c r="BF54" s="11">
        <v>0</v>
      </c>
      <c r="BG54" s="11">
        <v>1</v>
      </c>
      <c r="BH54" s="11">
        <v>0</v>
      </c>
      <c r="BI54" s="11">
        <v>1</v>
      </c>
      <c r="BJ54" s="11">
        <v>1</v>
      </c>
      <c r="BK54" s="11">
        <v>0</v>
      </c>
      <c r="BL54" s="11">
        <v>0</v>
      </c>
      <c r="BM54" s="11">
        <v>0</v>
      </c>
      <c r="BN54" s="11">
        <v>0</v>
      </c>
      <c r="BO54" s="11">
        <v>0</v>
      </c>
      <c r="BP54" s="11">
        <v>1</v>
      </c>
      <c r="BQ54" s="11">
        <v>0</v>
      </c>
      <c r="BR54" s="11">
        <v>0</v>
      </c>
      <c r="BS54" s="11">
        <v>0</v>
      </c>
      <c r="BT54" s="11">
        <v>0</v>
      </c>
      <c r="BU54" s="11">
        <v>0</v>
      </c>
      <c r="BV54" s="11">
        <v>0</v>
      </c>
      <c r="BW54" s="11">
        <v>0</v>
      </c>
      <c r="BX54" s="11">
        <v>1</v>
      </c>
      <c r="BY54" s="11">
        <v>1</v>
      </c>
      <c r="BZ54" s="11">
        <v>0</v>
      </c>
      <c r="CA54" s="11">
        <v>0</v>
      </c>
      <c r="CB54" s="11">
        <v>0</v>
      </c>
      <c r="CC54" s="11">
        <v>0</v>
      </c>
      <c r="CD54" s="11">
        <v>0</v>
      </c>
      <c r="CE54" s="11">
        <v>0</v>
      </c>
      <c r="CF54" s="11">
        <v>0</v>
      </c>
      <c r="CG54" s="11">
        <v>0</v>
      </c>
      <c r="CH54" s="11">
        <f ca="1">E54</f>
        <v>1</v>
      </c>
    </row>
    <row r="55" spans="4:86" x14ac:dyDescent="0.3">
      <c r="D55" s="11">
        <v>3</v>
      </c>
      <c r="E55" s="11">
        <f t="shared" ca="1" si="13"/>
        <v>1</v>
      </c>
      <c r="F55" s="10">
        <f t="array" aca="1" ref="F55" ca="1">IF(SUM(OFFSET(Factors,VALUE(RIGHT(F$34,2)),1,1,68))=0,"None",SQRT(SUM((OFFSET(Factors,VALUE(RIGHT(F$34,2)),1,1,68)-$R55:$CG55)^2)))</f>
        <v>2.231015588371259</v>
      </c>
      <c r="G55" s="10">
        <f t="array" aca="1" ref="G55" ca="1">IF(SUM(OFFSET(Factors,VALUE(RIGHT(G$34,2)),1,1,68))=0,"None",SQRT(SUM((OFFSET(Factors,VALUE(RIGHT(G$34,2)),1,1,68)-$R55:$CG55)^2)))</f>
        <v>2.9412391222007943</v>
      </c>
      <c r="H55" s="10">
        <f t="array" aca="1" ref="H55" ca="1">IF(SUM(OFFSET(Factors,VALUE(RIGHT(H$34,2)),1,1,68))=0,"None",SQRT(SUM((OFFSET(Factors,VALUE(RIGHT(H$34,2)),1,1,68)-$R55:$CG55)^2)))</f>
        <v>2.4949776541704116</v>
      </c>
      <c r="I55" s="10">
        <f t="array" aca="1" ref="I55" ca="1">IF(SUM(OFFSET(Factors,VALUE(RIGHT(I$34,2)),1,1,68))=0,"None",SQRT(SUM((OFFSET(Factors,VALUE(RIGHT(I$34,2)),1,1,68)-$R55:$CG55)^2)))</f>
        <v>2.6241881861565561</v>
      </c>
      <c r="J55" s="10">
        <f t="array" aca="1" ref="J55" ca="1">IF(SUM(OFFSET(Factors,VALUE(RIGHT(J$34,2)),1,1,68))=0,"None",SQRT(SUM((OFFSET(Factors,VALUE(RIGHT(J$34,2)),1,1,68)-$R55:$CG55)^2)))</f>
        <v>2.67348087705897</v>
      </c>
      <c r="K55" s="10" t="str">
        <f t="array" aca="1" ref="K55" ca="1">IF(SUM(OFFSET(Factors,VALUE(RIGHT(K$34,2)),1,1,68))=0,"None",SQRT(SUM((OFFSET(Factors,VALUE(RIGHT(K$34,2)),1,1,68)-$R55:$CG55)^2)))</f>
        <v>None</v>
      </c>
      <c r="L55" s="10" t="str">
        <f t="array" aca="1" ref="L55" ca="1">IF(SUM(OFFSET(Factors,VALUE(RIGHT(L$34,2)),1,1,68))=0,"None",SQRT(SUM((OFFSET(Factors,VALUE(RIGHT(L$34,2)),1,1,68)-$R55:$CG55)^2)))</f>
        <v>None</v>
      </c>
      <c r="M55" s="10" t="str">
        <f t="array" aca="1" ref="M55" ca="1">IF(SUM(OFFSET(Factors,VALUE(RIGHT(M$34,2)),1,1,68))=0,"None",SQRT(SUM((OFFSET(Factors,VALUE(RIGHT(M$34,2)),1,1,68)-$R55:$CG55)^2)))</f>
        <v>None</v>
      </c>
      <c r="N55" s="10" t="str">
        <f t="array" aca="1" ref="N55" ca="1">IF(SUM(OFFSET(Factors,VALUE(RIGHT(N$34,2)),1,1,68))=0,"None",SQRT(SUM((OFFSET(Factors,VALUE(RIGHT(N$34,2)),1,1,68)-$R55:$CG55)^2)))</f>
        <v>None</v>
      </c>
      <c r="O55" s="10" t="str">
        <f t="array" aca="1" ref="O55" ca="1">IF(SUM(OFFSET(Factors,VALUE(RIGHT(O$34,2)),1,1,68))=0,"None",SQRT(SUM((OFFSET(Factors,VALUE(RIGHT(O$34,2)),1,1,68)-$R55:$CG55)^2)))</f>
        <v>None</v>
      </c>
      <c r="Q55" s="10" t="s">
        <v>20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1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1</v>
      </c>
      <c r="AH55" s="11">
        <v>0</v>
      </c>
      <c r="AI55" s="11">
        <v>0</v>
      </c>
      <c r="AJ55" s="11">
        <v>0</v>
      </c>
      <c r="AK55" s="11">
        <v>1</v>
      </c>
      <c r="AL55" s="11">
        <v>0</v>
      </c>
      <c r="AM55" s="11">
        <v>0</v>
      </c>
      <c r="AN55" s="11">
        <v>0</v>
      </c>
      <c r="AO55" s="11">
        <v>1</v>
      </c>
      <c r="AP55" s="11">
        <v>0</v>
      </c>
      <c r="AQ55" s="11">
        <v>0</v>
      </c>
      <c r="AR55" s="11">
        <v>0</v>
      </c>
      <c r="AS55" s="11">
        <v>1</v>
      </c>
      <c r="AT55" s="11">
        <v>0</v>
      </c>
      <c r="AU55" s="11">
        <v>0</v>
      </c>
      <c r="AV55" s="11">
        <v>0</v>
      </c>
      <c r="AW55" s="11">
        <v>1</v>
      </c>
      <c r="AX55" s="11">
        <v>0</v>
      </c>
      <c r="AY55" s="11">
        <v>0</v>
      </c>
      <c r="AZ55" s="11">
        <v>1</v>
      </c>
      <c r="BA55" s="11">
        <v>1</v>
      </c>
      <c r="BB55" s="11">
        <v>0</v>
      </c>
      <c r="BC55" s="11">
        <v>0</v>
      </c>
      <c r="BD55" s="11">
        <v>0</v>
      </c>
      <c r="BE55" s="11">
        <v>0</v>
      </c>
      <c r="BF55" s="11">
        <v>0</v>
      </c>
      <c r="BG55" s="11">
        <v>0</v>
      </c>
      <c r="BH55" s="11">
        <v>0</v>
      </c>
      <c r="BI55" s="11">
        <v>1</v>
      </c>
      <c r="BJ55" s="11">
        <v>1</v>
      </c>
      <c r="BK55" s="11">
        <v>0</v>
      </c>
      <c r="BL55" s="11">
        <v>0</v>
      </c>
      <c r="BM55" s="11">
        <v>0</v>
      </c>
      <c r="BN55" s="11">
        <v>0</v>
      </c>
      <c r="BO55" s="11">
        <v>0</v>
      </c>
      <c r="BP55" s="11">
        <v>1</v>
      </c>
      <c r="BQ55" s="11">
        <v>0</v>
      </c>
      <c r="BR55" s="11">
        <v>0</v>
      </c>
      <c r="BS55" s="11">
        <v>0</v>
      </c>
      <c r="BT55" s="11">
        <v>0</v>
      </c>
      <c r="BU55" s="11">
        <v>0</v>
      </c>
      <c r="BV55" s="11">
        <v>0</v>
      </c>
      <c r="BW55" s="11">
        <v>0</v>
      </c>
      <c r="BX55" s="11">
        <v>0</v>
      </c>
      <c r="BY55" s="11">
        <v>0</v>
      </c>
      <c r="BZ55" s="11">
        <v>0</v>
      </c>
      <c r="CA55" s="11">
        <v>0</v>
      </c>
      <c r="CB55" s="11">
        <v>0</v>
      </c>
      <c r="CC55" s="11">
        <v>0</v>
      </c>
      <c r="CD55" s="11">
        <v>0</v>
      </c>
      <c r="CE55" s="11">
        <v>0</v>
      </c>
      <c r="CF55" s="11">
        <v>0</v>
      </c>
      <c r="CG55" s="11">
        <v>0</v>
      </c>
      <c r="CH55" s="11">
        <f ca="1">E55</f>
        <v>1</v>
      </c>
    </row>
    <row r="56" spans="4:86" x14ac:dyDescent="0.3">
      <c r="D56" s="11">
        <v>1</v>
      </c>
      <c r="E56" s="11">
        <f t="shared" ca="1" si="13"/>
        <v>1</v>
      </c>
      <c r="F56" s="10">
        <f t="array" aca="1" ref="F56" ca="1">IF(SUM(OFFSET(Factors,VALUE(RIGHT(F$34,2)),1,1,68))=0,"None",SQRT(SUM((OFFSET(Factors,VALUE(RIGHT(F$34,2)),1,1,68)-$R56:$CG56)^2)))</f>
        <v>2.6097440274649331</v>
      </c>
      <c r="G56" s="10">
        <f t="array" aca="1" ref="G56" ca="1">IF(SUM(OFFSET(Factors,VALUE(RIGHT(G$34,2)),1,1,68))=0,"None",SQRT(SUM((OFFSET(Factors,VALUE(RIGHT(G$34,2)),1,1,68)-$R56:$CG56)^2)))</f>
        <v>2.9017440175169256</v>
      </c>
      <c r="H56" s="10">
        <f t="array" aca="1" ref="H56" ca="1">IF(SUM(OFFSET(Factors,VALUE(RIGHT(H$34,2)),1,1,68))=0,"None",SQRT(SUM((OFFSET(Factors,VALUE(RIGHT(H$34,2)),1,1,68)-$R56:$CG56)^2)))</f>
        <v>2.816166871431959</v>
      </c>
      <c r="I56" s="10">
        <f t="array" aca="1" ref="I56" ca="1">IF(SUM(OFFSET(Factors,VALUE(RIGHT(I$34,2)),1,1,68))=0,"None",SQRT(SUM((OFFSET(Factors,VALUE(RIGHT(I$34,2)),1,1,68)-$R56:$CG56)^2)))</f>
        <v>2.9193710406057121</v>
      </c>
      <c r="J56" s="10">
        <f t="array" aca="1" ref="J56" ca="1">IF(SUM(OFFSET(Factors,VALUE(RIGHT(J$34,2)),1,1,68))=0,"None",SQRT(SUM((OFFSET(Factors,VALUE(RIGHT(J$34,2)),1,1,68)-$R56:$CG56)^2)))</f>
        <v>2.906458325866724</v>
      </c>
      <c r="K56" s="10" t="str">
        <f t="array" aca="1" ref="K56" ca="1">IF(SUM(OFFSET(Factors,VALUE(RIGHT(K$34,2)),1,1,68))=0,"None",SQRT(SUM((OFFSET(Factors,VALUE(RIGHT(K$34,2)),1,1,68)-$R56:$CG56)^2)))</f>
        <v>None</v>
      </c>
      <c r="L56" s="10" t="str">
        <f t="array" aca="1" ref="L56" ca="1">IF(SUM(OFFSET(Factors,VALUE(RIGHT(L$34,2)),1,1,68))=0,"None",SQRT(SUM((OFFSET(Factors,VALUE(RIGHT(L$34,2)),1,1,68)-$R56:$CG56)^2)))</f>
        <v>None</v>
      </c>
      <c r="M56" s="10" t="str">
        <f t="array" aca="1" ref="M56" ca="1">IF(SUM(OFFSET(Factors,VALUE(RIGHT(M$34,2)),1,1,68))=0,"None",SQRT(SUM((OFFSET(Factors,VALUE(RIGHT(M$34,2)),1,1,68)-$R56:$CG56)^2)))</f>
        <v>None</v>
      </c>
      <c r="N56" s="10" t="str">
        <f t="array" aca="1" ref="N56" ca="1">IF(SUM(OFFSET(Factors,VALUE(RIGHT(N$34,2)),1,1,68))=0,"None",SQRT(SUM((OFFSET(Factors,VALUE(RIGHT(N$34,2)),1,1,68)-$R56:$CG56)^2)))</f>
        <v>None</v>
      </c>
      <c r="O56" s="10" t="str">
        <f t="array" aca="1" ref="O56" ca="1">IF(SUM(OFFSET(Factors,VALUE(RIGHT(O$34,2)),1,1,68))=0,"None",SQRT(SUM((OFFSET(Factors,VALUE(RIGHT(O$34,2)),1,1,68)-$R56:$CG56)^2)))</f>
        <v>None</v>
      </c>
      <c r="Q56" s="10" t="s">
        <v>15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1</v>
      </c>
      <c r="AE56" s="11">
        <v>0</v>
      </c>
      <c r="AF56" s="11">
        <v>0</v>
      </c>
      <c r="AG56" s="11">
        <v>1</v>
      </c>
      <c r="AH56" s="11">
        <v>0</v>
      </c>
      <c r="AI56" s="11">
        <v>0</v>
      </c>
      <c r="AJ56" s="11">
        <v>0</v>
      </c>
      <c r="AK56" s="11">
        <v>1</v>
      </c>
      <c r="AL56" s="11">
        <v>0</v>
      </c>
      <c r="AM56" s="11">
        <v>0</v>
      </c>
      <c r="AN56" s="11">
        <v>0</v>
      </c>
      <c r="AO56" s="11">
        <v>1</v>
      </c>
      <c r="AP56" s="11">
        <v>0</v>
      </c>
      <c r="AQ56" s="11">
        <v>0</v>
      </c>
      <c r="AR56" s="11">
        <v>0</v>
      </c>
      <c r="AS56" s="11">
        <v>1</v>
      </c>
      <c r="AT56" s="11">
        <v>0</v>
      </c>
      <c r="AU56" s="11">
        <v>0</v>
      </c>
      <c r="AV56" s="11">
        <v>1</v>
      </c>
      <c r="AW56" s="11">
        <v>1</v>
      </c>
      <c r="AX56" s="11">
        <v>0</v>
      </c>
      <c r="AY56" s="11">
        <v>0</v>
      </c>
      <c r="AZ56" s="11">
        <v>0</v>
      </c>
      <c r="BA56" s="11">
        <v>0</v>
      </c>
      <c r="BB56" s="11">
        <v>0</v>
      </c>
      <c r="BC56" s="11">
        <v>0</v>
      </c>
      <c r="BD56" s="11">
        <v>0</v>
      </c>
      <c r="BE56" s="11">
        <v>0</v>
      </c>
      <c r="BF56" s="11">
        <v>0</v>
      </c>
      <c r="BG56" s="11">
        <v>0</v>
      </c>
      <c r="BH56" s="11">
        <v>1</v>
      </c>
      <c r="BI56" s="11">
        <v>1</v>
      </c>
      <c r="BJ56" s="11">
        <v>1</v>
      </c>
      <c r="BK56" s="11">
        <v>0</v>
      </c>
      <c r="BL56" s="11">
        <v>0</v>
      </c>
      <c r="BM56" s="11">
        <v>0</v>
      </c>
      <c r="BN56" s="11">
        <v>0</v>
      </c>
      <c r="BO56" s="11">
        <v>0</v>
      </c>
      <c r="BP56" s="11">
        <v>1</v>
      </c>
      <c r="BQ56" s="11">
        <v>0</v>
      </c>
      <c r="BR56" s="11">
        <v>0</v>
      </c>
      <c r="BS56" s="11">
        <v>0</v>
      </c>
      <c r="BT56" s="11">
        <v>0</v>
      </c>
      <c r="BU56" s="11">
        <v>0</v>
      </c>
      <c r="BV56" s="11">
        <v>0</v>
      </c>
      <c r="BW56" s="11">
        <v>1</v>
      </c>
      <c r="BX56" s="11">
        <v>0</v>
      </c>
      <c r="BY56" s="11">
        <v>0</v>
      </c>
      <c r="BZ56" s="11">
        <v>0</v>
      </c>
      <c r="CA56" s="11">
        <v>0</v>
      </c>
      <c r="CB56" s="11">
        <v>0</v>
      </c>
      <c r="CC56" s="11">
        <v>0</v>
      </c>
      <c r="CD56" s="11">
        <v>0</v>
      </c>
      <c r="CE56" s="11">
        <v>0</v>
      </c>
      <c r="CF56" s="11">
        <v>0</v>
      </c>
      <c r="CG56" s="11">
        <v>0</v>
      </c>
      <c r="CH56" s="11">
        <f ca="1">E56</f>
        <v>1</v>
      </c>
    </row>
    <row r="57" spans="4:86" x14ac:dyDescent="0.3">
      <c r="D57" s="11">
        <v>1</v>
      </c>
      <c r="E57" s="11">
        <f t="shared" ca="1" si="13"/>
        <v>1</v>
      </c>
      <c r="F57" s="10">
        <f t="array" aca="1" ref="F57" ca="1">IF(SUM(OFFSET(Factors,VALUE(RIGHT(F$34,2)),1,1,68))=0,"None",SQRT(SUM((OFFSET(Factors,VALUE(RIGHT(F$34,2)),1,1,68)-$R57:$CG57)^2)))</f>
        <v>2.4787289529559744</v>
      </c>
      <c r="G57" s="10">
        <f t="array" aca="1" ref="G57" ca="1">IF(SUM(OFFSET(Factors,VALUE(RIGHT(G$34,2)),1,1,68))=0,"None",SQRT(SUM((OFFSET(Factors,VALUE(RIGHT(G$34,2)),1,1,68)-$R57:$CG57)^2)))</f>
        <v>3.3335305661569925</v>
      </c>
      <c r="H57" s="10">
        <f t="array" aca="1" ref="H57" ca="1">IF(SUM(OFFSET(Factors,VALUE(RIGHT(H$34,2)),1,1,68))=0,"None",SQRT(SUM((OFFSET(Factors,VALUE(RIGHT(H$34,2)),1,1,68)-$R57:$CG57)^2)))</f>
        <v>3.0275551135194751</v>
      </c>
      <c r="I57" s="10">
        <f t="array" aca="1" ref="I57" ca="1">IF(SUM(OFFSET(Factors,VALUE(RIGHT(I$34,2)),1,1,68))=0,"None",SQRT(SUM((OFFSET(Factors,VALUE(RIGHT(I$34,2)),1,1,68)-$R57:$CG57)^2)))</f>
        <v>2.9193710406057116</v>
      </c>
      <c r="J57" s="10">
        <f t="array" aca="1" ref="J57" ca="1">IF(SUM(OFFSET(Factors,VALUE(RIGHT(J$34,2)),1,1,68))=0,"None",SQRT(SUM((OFFSET(Factors,VALUE(RIGHT(J$34,2)),1,1,68)-$R57:$CG57)^2)))</f>
        <v>3.0244834269673229</v>
      </c>
      <c r="K57" s="10" t="str">
        <f t="array" aca="1" ref="K57" ca="1">IF(SUM(OFFSET(Factors,VALUE(RIGHT(K$34,2)),1,1,68))=0,"None",SQRT(SUM((OFFSET(Factors,VALUE(RIGHT(K$34,2)),1,1,68)-$R57:$CG57)^2)))</f>
        <v>None</v>
      </c>
      <c r="L57" s="10" t="str">
        <f t="array" aca="1" ref="L57" ca="1">IF(SUM(OFFSET(Factors,VALUE(RIGHT(L$34,2)),1,1,68))=0,"None",SQRT(SUM((OFFSET(Factors,VALUE(RIGHT(L$34,2)),1,1,68)-$R57:$CG57)^2)))</f>
        <v>None</v>
      </c>
      <c r="M57" s="10" t="str">
        <f t="array" aca="1" ref="M57" ca="1">IF(SUM(OFFSET(Factors,VALUE(RIGHT(M$34,2)),1,1,68))=0,"None",SQRT(SUM((OFFSET(Factors,VALUE(RIGHT(M$34,2)),1,1,68)-$R57:$CG57)^2)))</f>
        <v>None</v>
      </c>
      <c r="N57" s="10" t="str">
        <f t="array" aca="1" ref="N57" ca="1">IF(SUM(OFFSET(Factors,VALUE(RIGHT(N$34,2)),1,1,68))=0,"None",SQRT(SUM((OFFSET(Factors,VALUE(RIGHT(N$34,2)),1,1,68)-$R57:$CG57)^2)))</f>
        <v>None</v>
      </c>
      <c r="O57" s="10" t="str">
        <f t="array" aca="1" ref="O57" ca="1">IF(SUM(OFFSET(Factors,VALUE(RIGHT(O$34,2)),1,1,68))=0,"None",SQRT(SUM((OFFSET(Factors,VALUE(RIGHT(O$34,2)),1,1,68)-$R57:$CG57)^2)))</f>
        <v>None</v>
      </c>
      <c r="Q57" s="10" t="s">
        <v>5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1</v>
      </c>
      <c r="AB57" s="11">
        <v>0</v>
      </c>
      <c r="AC57" s="11">
        <v>0</v>
      </c>
      <c r="AD57" s="11">
        <v>0</v>
      </c>
      <c r="AE57" s="11">
        <v>0</v>
      </c>
      <c r="AF57" s="11">
        <v>1</v>
      </c>
      <c r="AG57" s="11">
        <v>1</v>
      </c>
      <c r="AH57" s="11">
        <v>0</v>
      </c>
      <c r="AI57" s="11">
        <v>0</v>
      </c>
      <c r="AJ57" s="11">
        <v>0</v>
      </c>
      <c r="AK57" s="11">
        <v>1</v>
      </c>
      <c r="AL57" s="11">
        <v>0</v>
      </c>
      <c r="AM57" s="11">
        <v>0</v>
      </c>
      <c r="AN57" s="11">
        <v>0</v>
      </c>
      <c r="AO57" s="11">
        <v>0</v>
      </c>
      <c r="AP57" s="11">
        <v>0</v>
      </c>
      <c r="AQ57" s="11">
        <v>0</v>
      </c>
      <c r="AR57" s="11">
        <v>1</v>
      </c>
      <c r="AS57" s="11">
        <v>1</v>
      </c>
      <c r="AT57" s="11">
        <v>0</v>
      </c>
      <c r="AU57" s="11">
        <v>0</v>
      </c>
      <c r="AV57" s="11">
        <v>0</v>
      </c>
      <c r="AW57" s="11">
        <v>0</v>
      </c>
      <c r="AX57" s="11">
        <v>0</v>
      </c>
      <c r="AY57" s="11">
        <v>0</v>
      </c>
      <c r="AZ57" s="11">
        <v>1</v>
      </c>
      <c r="BA57" s="11">
        <v>1</v>
      </c>
      <c r="BB57" s="11">
        <v>0</v>
      </c>
      <c r="BC57" s="11">
        <v>0</v>
      </c>
      <c r="BD57" s="11">
        <v>0</v>
      </c>
      <c r="BE57" s="11">
        <v>0</v>
      </c>
      <c r="BF57" s="11">
        <v>0</v>
      </c>
      <c r="BG57" s="11">
        <v>0</v>
      </c>
      <c r="BH57" s="11">
        <v>0</v>
      </c>
      <c r="BI57" s="11">
        <v>1</v>
      </c>
      <c r="BJ57" s="11">
        <v>1</v>
      </c>
      <c r="BK57" s="11">
        <v>1</v>
      </c>
      <c r="BL57" s="11">
        <v>0</v>
      </c>
      <c r="BM57" s="11">
        <v>0</v>
      </c>
      <c r="BN57" s="11">
        <v>0</v>
      </c>
      <c r="BO57" s="11">
        <v>0</v>
      </c>
      <c r="BP57" s="11">
        <v>1</v>
      </c>
      <c r="BQ57" s="11">
        <v>0</v>
      </c>
      <c r="BR57" s="11">
        <v>0</v>
      </c>
      <c r="BS57" s="11">
        <v>0</v>
      </c>
      <c r="BT57" s="11">
        <v>0</v>
      </c>
      <c r="BU57" s="11">
        <v>0</v>
      </c>
      <c r="BV57" s="11">
        <v>0</v>
      </c>
      <c r="BW57" s="11">
        <v>0</v>
      </c>
      <c r="BX57" s="11">
        <v>1</v>
      </c>
      <c r="BY57" s="11">
        <v>0</v>
      </c>
      <c r="BZ57" s="11">
        <v>0</v>
      </c>
      <c r="CA57" s="11">
        <v>0</v>
      </c>
      <c r="CB57" s="11">
        <v>0</v>
      </c>
      <c r="CC57" s="11">
        <v>0</v>
      </c>
      <c r="CD57" s="11">
        <v>0</v>
      </c>
      <c r="CE57" s="11">
        <v>0</v>
      </c>
      <c r="CF57" s="11">
        <v>0</v>
      </c>
      <c r="CG57" s="11">
        <v>0</v>
      </c>
      <c r="CH57" s="11">
        <f ca="1">E57</f>
        <v>1</v>
      </c>
    </row>
    <row r="58" spans="4:86" x14ac:dyDescent="0.3">
      <c r="D58" s="11">
        <v>5</v>
      </c>
      <c r="E58" s="11">
        <f t="shared" ca="1" si="13"/>
        <v>1</v>
      </c>
      <c r="F58" s="10">
        <f t="array" aca="1" ref="F58" ca="1">IF(SUM(OFFSET(Factors,VALUE(RIGHT(F$34,2)),1,1,68))=0,"None",SQRT(SUM((OFFSET(Factors,VALUE(RIGHT(F$34,2)),1,1,68)-$R58:$CG58)^2)))</f>
        <v>2.8828395530949842</v>
      </c>
      <c r="G58" s="10">
        <f t="array" aca="1" ref="G58" ca="1">IF(SUM(OFFSET(Factors,VALUE(RIGHT(G$34,2)),1,1,68))=0,"None",SQRT(SUM((OFFSET(Factors,VALUE(RIGHT(G$34,2)),1,1,68)-$R58:$CG58)^2)))</f>
        <v>3.4358017590965071</v>
      </c>
      <c r="H58" s="10">
        <f t="array" aca="1" ref="H58" ca="1">IF(SUM(OFFSET(Factors,VALUE(RIGHT(H$34,2)),1,1,68))=0,"None",SQRT(SUM((OFFSET(Factors,VALUE(RIGHT(H$34,2)),1,1,68)-$R58:$CG58)^2)))</f>
        <v>3.3150594832012632</v>
      </c>
      <c r="I58" s="10">
        <f t="array" aca="1" ref="I58" ca="1">IF(SUM(OFFSET(Factors,VALUE(RIGHT(I$34,2)),1,1,68))=0,"None",SQRT(SUM((OFFSET(Factors,VALUE(RIGHT(I$34,2)),1,1,68)-$R58:$CG58)^2)))</f>
        <v>3.3945142911361086</v>
      </c>
      <c r="J58" s="10">
        <f t="array" aca="1" ref="J58" ca="1">IF(SUM(OFFSET(Factors,VALUE(RIGHT(J$34,2)),1,1,68))=0,"None",SQRT(SUM((OFFSET(Factors,VALUE(RIGHT(J$34,2)),1,1,68)-$R58:$CG58)^2)))</f>
        <v>3.1220986531498327</v>
      </c>
      <c r="K58" s="10" t="str">
        <f t="array" aca="1" ref="K58" ca="1">IF(SUM(OFFSET(Factors,VALUE(RIGHT(K$34,2)),1,1,68))=0,"None",SQRT(SUM((OFFSET(Factors,VALUE(RIGHT(K$34,2)),1,1,68)-$R58:$CG58)^2)))</f>
        <v>None</v>
      </c>
      <c r="L58" s="10" t="str">
        <f t="array" aca="1" ref="L58" ca="1">IF(SUM(OFFSET(Factors,VALUE(RIGHT(L$34,2)),1,1,68))=0,"None",SQRT(SUM((OFFSET(Factors,VALUE(RIGHT(L$34,2)),1,1,68)-$R58:$CG58)^2)))</f>
        <v>None</v>
      </c>
      <c r="M58" s="10" t="str">
        <f t="array" aca="1" ref="M58" ca="1">IF(SUM(OFFSET(Factors,VALUE(RIGHT(M$34,2)),1,1,68))=0,"None",SQRT(SUM((OFFSET(Factors,VALUE(RIGHT(M$34,2)),1,1,68)-$R58:$CG58)^2)))</f>
        <v>None</v>
      </c>
      <c r="N58" s="10" t="str">
        <f t="array" aca="1" ref="N58" ca="1">IF(SUM(OFFSET(Factors,VALUE(RIGHT(N$34,2)),1,1,68))=0,"None",SQRT(SUM((OFFSET(Factors,VALUE(RIGHT(N$34,2)),1,1,68)-$R58:$CG58)^2)))</f>
        <v>None</v>
      </c>
      <c r="O58" s="10" t="str">
        <f t="array" aca="1" ref="O58" ca="1">IF(SUM(OFFSET(Factors,VALUE(RIGHT(O$34,2)),1,1,68))=0,"None",SQRT(SUM((OFFSET(Factors,VALUE(RIGHT(O$34,2)),1,1,68)-$R58:$CG58)^2)))</f>
        <v>None</v>
      </c>
      <c r="Q58" s="10" t="s">
        <v>1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  <c r="Y58" s="11">
        <v>1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1</v>
      </c>
      <c r="AH58" s="11">
        <v>0</v>
      </c>
      <c r="AI58" s="11">
        <v>0</v>
      </c>
      <c r="AJ58" s="11">
        <v>0</v>
      </c>
      <c r="AK58" s="11">
        <v>1</v>
      </c>
      <c r="AL58" s="11">
        <v>1</v>
      </c>
      <c r="AM58" s="11">
        <v>0</v>
      </c>
      <c r="AN58" s="11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1</v>
      </c>
      <c r="AT58" s="11">
        <v>1</v>
      </c>
      <c r="AU58" s="11">
        <v>0</v>
      </c>
      <c r="AV58" s="11">
        <v>1</v>
      </c>
      <c r="AW58" s="11">
        <v>0</v>
      </c>
      <c r="AX58" s="11">
        <v>0</v>
      </c>
      <c r="AY58" s="11">
        <v>0</v>
      </c>
      <c r="AZ58" s="11">
        <v>1</v>
      </c>
      <c r="BA58" s="11">
        <v>0</v>
      </c>
      <c r="BB58" s="11">
        <v>0</v>
      </c>
      <c r="BC58" s="11">
        <v>0</v>
      </c>
      <c r="BD58" s="11">
        <v>0</v>
      </c>
      <c r="BE58" s="11">
        <v>1</v>
      </c>
      <c r="BF58" s="11">
        <v>0</v>
      </c>
      <c r="BG58" s="11">
        <v>0</v>
      </c>
      <c r="BH58" s="11">
        <v>0</v>
      </c>
      <c r="BI58" s="11">
        <v>0</v>
      </c>
      <c r="BJ58" s="11">
        <v>0</v>
      </c>
      <c r="BK58" s="11">
        <v>0</v>
      </c>
      <c r="BL58" s="11">
        <v>0</v>
      </c>
      <c r="BM58" s="11">
        <v>0</v>
      </c>
      <c r="BN58" s="11">
        <v>0</v>
      </c>
      <c r="BO58" s="11">
        <v>1</v>
      </c>
      <c r="BP58" s="11">
        <v>0</v>
      </c>
      <c r="BQ58" s="11">
        <v>0</v>
      </c>
      <c r="BR58" s="11">
        <v>0</v>
      </c>
      <c r="BS58" s="11">
        <v>0</v>
      </c>
      <c r="BT58" s="11">
        <v>1</v>
      </c>
      <c r="BU58" s="11">
        <v>0</v>
      </c>
      <c r="BV58" s="11">
        <v>0</v>
      </c>
      <c r="BW58" s="11">
        <v>0</v>
      </c>
      <c r="BX58" s="11">
        <v>0</v>
      </c>
      <c r="BY58" s="11">
        <v>0</v>
      </c>
      <c r="BZ58" s="11">
        <v>0</v>
      </c>
      <c r="CA58" s="11">
        <v>0</v>
      </c>
      <c r="CB58" s="11">
        <v>0</v>
      </c>
      <c r="CC58" s="11">
        <v>0</v>
      </c>
      <c r="CD58" s="11">
        <v>0</v>
      </c>
      <c r="CE58" s="11">
        <v>0</v>
      </c>
      <c r="CF58" s="11">
        <v>1</v>
      </c>
      <c r="CG58" s="11">
        <v>0</v>
      </c>
      <c r="CH58" s="11">
        <f ca="1">E58</f>
        <v>1</v>
      </c>
    </row>
    <row r="59" spans="4:86" x14ac:dyDescent="0.3">
      <c r="D59" s="11">
        <v>2</v>
      </c>
      <c r="E59" s="11">
        <f t="shared" ca="1" si="13"/>
        <v>2</v>
      </c>
      <c r="F59" s="10">
        <f t="array" aca="1" ref="F59" ca="1">IF(SUM(OFFSET(Factors,VALUE(RIGHT(F$34,2)),1,1,68))=0,"None",SQRT(SUM((OFFSET(Factors,VALUE(RIGHT(F$34,2)),1,1,68)-$R59:$CG59)^2)))</f>
        <v>3.184979940631059</v>
      </c>
      <c r="G59" s="10">
        <f t="array" aca="1" ref="G59" ca="1">IF(SUM(OFFSET(Factors,VALUE(RIGHT(G$34,2)),1,1,68))=0,"None",SQRT(SUM((OFFSET(Factors,VALUE(RIGHT(G$34,2)),1,1,68)-$R59:$CG59)^2)))</f>
        <v>2.7380725739319516</v>
      </c>
      <c r="H59" s="10">
        <f t="array" aca="1" ref="H59" ca="1">IF(SUM(OFFSET(Factors,VALUE(RIGHT(H$34,2)),1,1,68))=0,"None",SQRT(SUM((OFFSET(Factors,VALUE(RIGHT(H$34,2)),1,1,68)-$R59:$CG59)^2)))</f>
        <v>3.487992254205551</v>
      </c>
      <c r="I59" s="10">
        <f t="array" aca="1" ref="I59" ca="1">IF(SUM(OFFSET(Factors,VALUE(RIGHT(I$34,2)),1,1,68))=0,"None",SQRT(SUM((OFFSET(Factors,VALUE(RIGHT(I$34,2)),1,1,68)-$R59:$CG59)^2)))</f>
        <v>2.9657131596724837</v>
      </c>
      <c r="J59" s="10">
        <f t="array" aca="1" ref="J59" ca="1">IF(SUM(OFFSET(Factors,VALUE(RIGHT(J$34,2)),1,1,68))=0,"None",SQRT(SUM((OFFSET(Factors,VALUE(RIGHT(J$34,2)),1,1,68)-$R59:$CG59)^2)))</f>
        <v>3.201171660501823</v>
      </c>
      <c r="K59" s="10" t="str">
        <f t="array" aca="1" ref="K59" ca="1">IF(SUM(OFFSET(Factors,VALUE(RIGHT(K$34,2)),1,1,68))=0,"None",SQRT(SUM((OFFSET(Factors,VALUE(RIGHT(K$34,2)),1,1,68)-$R59:$CG59)^2)))</f>
        <v>None</v>
      </c>
      <c r="L59" s="10" t="str">
        <f t="array" aca="1" ref="L59" ca="1">IF(SUM(OFFSET(Factors,VALUE(RIGHT(L$34,2)),1,1,68))=0,"None",SQRT(SUM((OFFSET(Factors,VALUE(RIGHT(L$34,2)),1,1,68)-$R59:$CG59)^2)))</f>
        <v>None</v>
      </c>
      <c r="M59" s="10" t="str">
        <f t="array" aca="1" ref="M59" ca="1">IF(SUM(OFFSET(Factors,VALUE(RIGHT(M$34,2)),1,1,68))=0,"None",SQRT(SUM((OFFSET(Factors,VALUE(RIGHT(M$34,2)),1,1,68)-$R59:$CG59)^2)))</f>
        <v>None</v>
      </c>
      <c r="N59" s="10" t="str">
        <f t="array" aca="1" ref="N59" ca="1">IF(SUM(OFFSET(Factors,VALUE(RIGHT(N$34,2)),1,1,68))=0,"None",SQRT(SUM((OFFSET(Factors,VALUE(RIGHT(N$34,2)),1,1,68)-$R59:$CG59)^2)))</f>
        <v>None</v>
      </c>
      <c r="O59" s="10" t="str">
        <f t="array" aca="1" ref="O59" ca="1">IF(SUM(OFFSET(Factors,VALUE(RIGHT(O$34,2)),1,1,68))=0,"None",SQRT(SUM((OFFSET(Factors,VALUE(RIGHT(O$34,2)),1,1,68)-$R59:$CG59)^2)))</f>
        <v>None</v>
      </c>
      <c r="Q59" s="10" t="s">
        <v>104</v>
      </c>
      <c r="R59" s="11">
        <v>0</v>
      </c>
      <c r="S59" s="11">
        <v>0</v>
      </c>
      <c r="T59" s="11">
        <v>0</v>
      </c>
      <c r="U59" s="11">
        <v>0</v>
      </c>
      <c r="V59" s="11">
        <v>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1</v>
      </c>
      <c r="AK59" s="11">
        <v>0</v>
      </c>
      <c r="AL59" s="11">
        <v>1</v>
      </c>
      <c r="AM59" s="11">
        <v>1</v>
      </c>
      <c r="AN59" s="11">
        <v>0</v>
      </c>
      <c r="AO59" s="11">
        <v>0</v>
      </c>
      <c r="AP59" s="11">
        <v>0</v>
      </c>
      <c r="AQ59" s="11">
        <v>0</v>
      </c>
      <c r="AR59" s="11">
        <v>1</v>
      </c>
      <c r="AS59" s="11">
        <v>0</v>
      </c>
      <c r="AT59" s="11">
        <v>0</v>
      </c>
      <c r="AU59" s="11">
        <v>0</v>
      </c>
      <c r="AV59" s="11">
        <v>0</v>
      </c>
      <c r="AW59" s="11">
        <v>0</v>
      </c>
      <c r="AX59" s="11">
        <v>0</v>
      </c>
      <c r="AY59" s="11">
        <v>0</v>
      </c>
      <c r="AZ59" s="11">
        <v>0</v>
      </c>
      <c r="BA59" s="11">
        <v>0</v>
      </c>
      <c r="BB59" s="11">
        <v>0</v>
      </c>
      <c r="BC59" s="11">
        <v>0</v>
      </c>
      <c r="BD59" s="11">
        <v>1</v>
      </c>
      <c r="BE59" s="11">
        <v>0</v>
      </c>
      <c r="BF59" s="11">
        <v>0</v>
      </c>
      <c r="BG59" s="11">
        <v>1</v>
      </c>
      <c r="BH59" s="11">
        <v>1</v>
      </c>
      <c r="BI59" s="11">
        <v>0</v>
      </c>
      <c r="BJ59" s="11">
        <v>1</v>
      </c>
      <c r="BK59" s="11">
        <v>0</v>
      </c>
      <c r="BL59" s="11">
        <v>0</v>
      </c>
      <c r="BM59" s="11">
        <v>0</v>
      </c>
      <c r="BN59" s="11">
        <v>0</v>
      </c>
      <c r="BO59" s="11">
        <v>0</v>
      </c>
      <c r="BP59" s="11">
        <v>0</v>
      </c>
      <c r="BQ59" s="11">
        <v>0</v>
      </c>
      <c r="BR59" s="11">
        <v>0</v>
      </c>
      <c r="BS59" s="11">
        <v>0</v>
      </c>
      <c r="BT59" s="11">
        <v>0</v>
      </c>
      <c r="BU59" s="11">
        <v>0</v>
      </c>
      <c r="BV59" s="11">
        <v>0</v>
      </c>
      <c r="BW59" s="11">
        <v>0</v>
      </c>
      <c r="BX59" s="11">
        <v>0</v>
      </c>
      <c r="BY59" s="11">
        <v>0</v>
      </c>
      <c r="BZ59" s="11">
        <v>1</v>
      </c>
      <c r="CA59" s="11">
        <v>0</v>
      </c>
      <c r="CB59" s="11">
        <v>0</v>
      </c>
      <c r="CC59" s="11">
        <v>0</v>
      </c>
      <c r="CD59" s="11">
        <v>0</v>
      </c>
      <c r="CE59" s="11">
        <v>0</v>
      </c>
      <c r="CF59" s="11">
        <v>0</v>
      </c>
      <c r="CG59" s="11">
        <v>0</v>
      </c>
      <c r="CH59" s="11">
        <f ca="1">E59</f>
        <v>2</v>
      </c>
    </row>
    <row r="60" spans="4:86" x14ac:dyDescent="0.3">
      <c r="D60" s="11">
        <v>4</v>
      </c>
      <c r="E60" s="11">
        <f t="shared" ca="1" si="13"/>
        <v>2</v>
      </c>
      <c r="F60" s="10">
        <f t="array" aca="1" ref="F60" ca="1">IF(SUM(OFFSET(Factors,VALUE(RIGHT(F$34,2)),1,1,68))=0,"None",SQRT(SUM((OFFSET(Factors,VALUE(RIGHT(F$34,2)),1,1,68)-$R60:$CG60)^2)))</f>
        <v>2.9822973061420663</v>
      </c>
      <c r="G60" s="10">
        <f t="array" aca="1" ref="G60" ca="1">IF(SUM(OFFSET(Factors,VALUE(RIGHT(G$34,2)),1,1,68))=0,"None",SQRT(SUM((OFFSET(Factors,VALUE(RIGHT(G$34,2)),1,1,68)-$R60:$CG60)^2)))</f>
        <v>2.6812961627589811</v>
      </c>
      <c r="H60" s="10">
        <f t="array" aca="1" ref="H60" ca="1">IF(SUM(OFFSET(Factors,VALUE(RIGHT(H$34,2)),1,1,68))=0,"None",SQRT(SUM((OFFSET(Factors,VALUE(RIGHT(H$34,2)),1,1,68)-$R60:$CG60)^2)))</f>
        <v>3.2613920648539083</v>
      </c>
      <c r="I60" s="10">
        <f t="array" aca="1" ref="I60" ca="1">IF(SUM(OFFSET(Factors,VALUE(RIGHT(I$34,2)),1,1,68))=0,"None",SQRT(SUM((OFFSET(Factors,VALUE(RIGHT(I$34,2)),1,1,68)-$R60:$CG60)^2)))</f>
        <v>2.903759318851717</v>
      </c>
      <c r="J60" s="10">
        <f t="array" aca="1" ref="J60" ca="1">IF(SUM(OFFSET(Factors,VALUE(RIGHT(J$34,2)),1,1,68))=0,"None",SQRT(SUM((OFFSET(Factors,VALUE(RIGHT(J$34,2)),1,1,68)-$R60:$CG60)^2)))</f>
        <v>3.1855140872392953</v>
      </c>
      <c r="K60" s="10" t="str">
        <f t="array" aca="1" ref="K60" ca="1">IF(SUM(OFFSET(Factors,VALUE(RIGHT(K$34,2)),1,1,68))=0,"None",SQRT(SUM((OFFSET(Factors,VALUE(RIGHT(K$34,2)),1,1,68)-$R60:$CG60)^2)))</f>
        <v>None</v>
      </c>
      <c r="L60" s="10" t="str">
        <f t="array" aca="1" ref="L60" ca="1">IF(SUM(OFFSET(Factors,VALUE(RIGHT(L$34,2)),1,1,68))=0,"None",SQRT(SUM((OFFSET(Factors,VALUE(RIGHT(L$34,2)),1,1,68)-$R60:$CG60)^2)))</f>
        <v>None</v>
      </c>
      <c r="M60" s="10" t="str">
        <f t="array" aca="1" ref="M60" ca="1">IF(SUM(OFFSET(Factors,VALUE(RIGHT(M$34,2)),1,1,68))=0,"None",SQRT(SUM((OFFSET(Factors,VALUE(RIGHT(M$34,2)),1,1,68)-$R60:$CG60)^2)))</f>
        <v>None</v>
      </c>
      <c r="N60" s="10" t="str">
        <f t="array" aca="1" ref="N60" ca="1">IF(SUM(OFFSET(Factors,VALUE(RIGHT(N$34,2)),1,1,68))=0,"None",SQRT(SUM((OFFSET(Factors,VALUE(RIGHT(N$34,2)),1,1,68)-$R60:$CG60)^2)))</f>
        <v>None</v>
      </c>
      <c r="O60" s="10" t="str">
        <f t="array" aca="1" ref="O60" ca="1">IF(SUM(OFFSET(Factors,VALUE(RIGHT(O$34,2)),1,1,68))=0,"None",SQRT(SUM((OFFSET(Factors,VALUE(RIGHT(O$34,2)),1,1,68)-$R60:$CG60)^2)))</f>
        <v>None</v>
      </c>
      <c r="Q60" s="10" t="s">
        <v>103</v>
      </c>
      <c r="R60" s="11">
        <v>0</v>
      </c>
      <c r="S60" s="11">
        <v>0</v>
      </c>
      <c r="T60" s="11">
        <v>1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1</v>
      </c>
      <c r="AG60" s="11">
        <v>0</v>
      </c>
      <c r="AH60" s="11">
        <v>0</v>
      </c>
      <c r="AI60" s="11">
        <v>0</v>
      </c>
      <c r="AJ60" s="11">
        <v>1</v>
      </c>
      <c r="AK60" s="11">
        <v>0</v>
      </c>
      <c r="AL60" s="11">
        <v>0</v>
      </c>
      <c r="AM60" s="11">
        <v>0</v>
      </c>
      <c r="AN60" s="11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1">
        <v>0</v>
      </c>
      <c r="AV60" s="11">
        <v>0</v>
      </c>
      <c r="AW60" s="11">
        <v>0</v>
      </c>
      <c r="AX60" s="11">
        <v>1</v>
      </c>
      <c r="AY60" s="11">
        <v>0</v>
      </c>
      <c r="AZ60" s="11">
        <v>0</v>
      </c>
      <c r="BA60" s="11">
        <v>0</v>
      </c>
      <c r="BB60" s="11">
        <v>0</v>
      </c>
      <c r="BC60" s="11">
        <v>0</v>
      </c>
      <c r="BD60" s="11">
        <v>1</v>
      </c>
      <c r="BE60" s="11">
        <v>0</v>
      </c>
      <c r="BF60" s="11">
        <v>0</v>
      </c>
      <c r="BG60" s="11">
        <v>1</v>
      </c>
      <c r="BH60" s="11">
        <v>0</v>
      </c>
      <c r="BI60" s="11">
        <v>0</v>
      </c>
      <c r="BJ60" s="11">
        <v>0</v>
      </c>
      <c r="BK60" s="11">
        <v>1</v>
      </c>
      <c r="BL60" s="11">
        <v>0</v>
      </c>
      <c r="BM60" s="11">
        <v>0</v>
      </c>
      <c r="BN60" s="11">
        <v>0</v>
      </c>
      <c r="BO60" s="11">
        <v>0</v>
      </c>
      <c r="BP60" s="11">
        <v>1</v>
      </c>
      <c r="BQ60" s="11">
        <v>0</v>
      </c>
      <c r="BR60" s="11">
        <v>0</v>
      </c>
      <c r="BS60" s="11">
        <v>0</v>
      </c>
      <c r="BT60" s="11">
        <v>0</v>
      </c>
      <c r="BU60" s="11">
        <v>0</v>
      </c>
      <c r="BV60" s="11">
        <v>0</v>
      </c>
      <c r="BW60" s="11">
        <v>0</v>
      </c>
      <c r="BX60" s="11">
        <v>0</v>
      </c>
      <c r="BY60" s="11">
        <v>0</v>
      </c>
      <c r="BZ60" s="11">
        <v>0</v>
      </c>
      <c r="CA60" s="11">
        <v>0</v>
      </c>
      <c r="CB60" s="11">
        <v>0</v>
      </c>
      <c r="CC60" s="11">
        <v>0</v>
      </c>
      <c r="CD60" s="11">
        <v>0</v>
      </c>
      <c r="CE60" s="11">
        <v>0</v>
      </c>
      <c r="CF60" s="11">
        <v>0</v>
      </c>
      <c r="CG60" s="11">
        <v>0</v>
      </c>
      <c r="CH60" s="11">
        <f ca="1">E60</f>
        <v>2</v>
      </c>
    </row>
    <row r="61" spans="4:86" x14ac:dyDescent="0.3">
      <c r="D61" s="11">
        <v>2</v>
      </c>
      <c r="E61" s="11">
        <f t="shared" ca="1" si="13"/>
        <v>2</v>
      </c>
      <c r="F61" s="10">
        <f t="array" aca="1" ref="F61" ca="1">IF(SUM(OFFSET(Factors,VALUE(RIGHT(F$34,2)),1,1,68))=0,"None",SQRT(SUM((OFFSET(Factors,VALUE(RIGHT(F$34,2)),1,1,68)-$R61:$CG61)^2)))</f>
        <v>2.9822973061420655</v>
      </c>
      <c r="G61" s="10">
        <f t="array" aca="1" ref="G61" ca="1">IF(SUM(OFFSET(Factors,VALUE(RIGHT(G$34,2)),1,1,68))=0,"None",SQRT(SUM((OFFSET(Factors,VALUE(RIGHT(G$34,2)),1,1,68)-$R61:$CG61)^2)))</f>
        <v>2.3932844901698531</v>
      </c>
      <c r="H61" s="10">
        <f t="array" aca="1" ref="H61" ca="1">IF(SUM(OFFSET(Factors,VALUE(RIGHT(H$34,2)),1,1,68))=0,"None",SQRT(SUM((OFFSET(Factors,VALUE(RIGHT(H$34,2)),1,1,68)-$R61:$CG61)^2)))</f>
        <v>3.0948109265802128</v>
      </c>
      <c r="I61" s="10">
        <f t="array" aca="1" ref="I61" ca="1">IF(SUM(OFFSET(Factors,VALUE(RIGHT(I$34,2)),1,1,68))=0,"None",SQRT(SUM((OFFSET(Factors,VALUE(RIGHT(I$34,2)),1,1,68)-$R61:$CG61)^2)))</f>
        <v>2.9503466668419587</v>
      </c>
      <c r="J61" s="10">
        <f t="array" aca="1" ref="J61" ca="1">IF(SUM(OFFSET(Factors,VALUE(RIGHT(J$34,2)),1,1,68))=0,"None",SQRT(SUM((OFFSET(Factors,VALUE(RIGHT(J$34,2)),1,1,68)-$R61:$CG61)^2)))</f>
        <v>2.9064583258667236</v>
      </c>
      <c r="K61" s="10" t="str">
        <f t="array" aca="1" ref="K61" ca="1">IF(SUM(OFFSET(Factors,VALUE(RIGHT(K$34,2)),1,1,68))=0,"None",SQRT(SUM((OFFSET(Factors,VALUE(RIGHT(K$34,2)),1,1,68)-$R61:$CG61)^2)))</f>
        <v>None</v>
      </c>
      <c r="L61" s="10" t="str">
        <f t="array" aca="1" ref="L61" ca="1">IF(SUM(OFFSET(Factors,VALUE(RIGHT(L$34,2)),1,1,68))=0,"None",SQRT(SUM((OFFSET(Factors,VALUE(RIGHT(L$34,2)),1,1,68)-$R61:$CG61)^2)))</f>
        <v>None</v>
      </c>
      <c r="M61" s="10" t="str">
        <f t="array" aca="1" ref="M61" ca="1">IF(SUM(OFFSET(Factors,VALUE(RIGHT(M$34,2)),1,1,68))=0,"None",SQRT(SUM((OFFSET(Factors,VALUE(RIGHT(M$34,2)),1,1,68)-$R61:$CG61)^2)))</f>
        <v>None</v>
      </c>
      <c r="N61" s="10" t="str">
        <f t="array" aca="1" ref="N61" ca="1">IF(SUM(OFFSET(Factors,VALUE(RIGHT(N$34,2)),1,1,68))=0,"None",SQRT(SUM((OFFSET(Factors,VALUE(RIGHT(N$34,2)),1,1,68)-$R61:$CG61)^2)))</f>
        <v>None</v>
      </c>
      <c r="O61" s="10" t="str">
        <f t="array" aca="1" ref="O61" ca="1">IF(SUM(OFFSET(Factors,VALUE(RIGHT(O$34,2)),1,1,68))=0,"None",SQRT(SUM((OFFSET(Factors,VALUE(RIGHT(O$34,2)),1,1,68)-$R61:$CG61)^2)))</f>
        <v>None</v>
      </c>
      <c r="Q61" s="10" t="s">
        <v>98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1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L61" s="11">
        <v>1</v>
      </c>
      <c r="AM61" s="11">
        <v>1</v>
      </c>
      <c r="AN61" s="11">
        <v>0</v>
      </c>
      <c r="AO61" s="11">
        <v>0</v>
      </c>
      <c r="AP61" s="11">
        <v>0</v>
      </c>
      <c r="AQ61" s="11">
        <v>0</v>
      </c>
      <c r="AR61" s="11">
        <v>0</v>
      </c>
      <c r="AS61" s="11">
        <v>0</v>
      </c>
      <c r="AT61" s="11">
        <v>0</v>
      </c>
      <c r="AU61" s="11">
        <v>0</v>
      </c>
      <c r="AV61" s="11">
        <v>0</v>
      </c>
      <c r="AW61" s="11">
        <v>0</v>
      </c>
      <c r="AX61" s="11">
        <v>1</v>
      </c>
      <c r="AY61" s="11">
        <v>1</v>
      </c>
      <c r="AZ61" s="11">
        <v>0</v>
      </c>
      <c r="BA61" s="11">
        <v>0</v>
      </c>
      <c r="BB61" s="11">
        <v>0</v>
      </c>
      <c r="BC61" s="11">
        <v>0</v>
      </c>
      <c r="BD61" s="11">
        <v>0</v>
      </c>
      <c r="BE61" s="11">
        <v>0</v>
      </c>
      <c r="BF61" s="11">
        <v>0</v>
      </c>
      <c r="BG61" s="11">
        <v>1</v>
      </c>
      <c r="BH61" s="11">
        <v>0</v>
      </c>
      <c r="BI61" s="11">
        <v>0</v>
      </c>
      <c r="BJ61" s="11">
        <v>1</v>
      </c>
      <c r="BK61" s="11">
        <v>0</v>
      </c>
      <c r="BL61" s="11">
        <v>0</v>
      </c>
      <c r="BM61" s="11">
        <v>0</v>
      </c>
      <c r="BN61" s="11">
        <v>0</v>
      </c>
      <c r="BO61" s="11">
        <v>0</v>
      </c>
      <c r="BP61" s="11">
        <v>0</v>
      </c>
      <c r="BQ61" s="11">
        <v>0</v>
      </c>
      <c r="BR61" s="11">
        <v>0</v>
      </c>
      <c r="BS61" s="11">
        <v>0</v>
      </c>
      <c r="BT61" s="11">
        <v>0</v>
      </c>
      <c r="BU61" s="11">
        <v>0</v>
      </c>
      <c r="BV61" s="11">
        <v>0</v>
      </c>
      <c r="BW61" s="11">
        <v>0</v>
      </c>
      <c r="BX61" s="11">
        <v>0</v>
      </c>
      <c r="BY61" s="11">
        <v>1</v>
      </c>
      <c r="BZ61" s="11">
        <v>0</v>
      </c>
      <c r="CA61" s="11">
        <v>0</v>
      </c>
      <c r="CB61" s="11">
        <v>0</v>
      </c>
      <c r="CC61" s="11">
        <v>0</v>
      </c>
      <c r="CD61" s="11">
        <v>0</v>
      </c>
      <c r="CE61" s="11">
        <v>0</v>
      </c>
      <c r="CF61" s="11">
        <v>0</v>
      </c>
      <c r="CG61" s="11">
        <v>0</v>
      </c>
      <c r="CH61" s="11">
        <f ca="1">E61</f>
        <v>2</v>
      </c>
    </row>
    <row r="62" spans="4:86" x14ac:dyDescent="0.3">
      <c r="D62" s="11">
        <v>1</v>
      </c>
      <c r="E62" s="11">
        <f t="shared" ca="1" si="13"/>
        <v>2</v>
      </c>
      <c r="F62" s="10">
        <f t="array" aca="1" ref="F62" ca="1">IF(SUM(OFFSET(Factors,VALUE(RIGHT(F$34,2)),1,1,68))=0,"None",SQRT(SUM((OFFSET(Factors,VALUE(RIGHT(F$34,2)),1,1,68)-$R62:$CG62)^2)))</f>
        <v>3.184979940631059</v>
      </c>
      <c r="G62" s="10">
        <f t="array" aca="1" ref="G62" ca="1">IF(SUM(OFFSET(Factors,VALUE(RIGHT(G$34,2)),1,1,68))=0,"None",SQRT(SUM((OFFSET(Factors,VALUE(RIGHT(G$34,2)),1,1,68)-$R62:$CG62)^2)))</f>
        <v>2.7936953534361351</v>
      </c>
      <c r="H62" s="10">
        <f t="array" aca="1" ref="H62" ca="1">IF(SUM(OFFSET(Factors,VALUE(RIGHT(H$34,2)),1,1,68))=0,"None",SQRT(SUM((OFFSET(Factors,VALUE(RIGHT(H$34,2)),1,1,68)-$R62:$CG62)^2)))</f>
        <v>3.3239198104909802</v>
      </c>
      <c r="I62" s="10">
        <f t="array" aca="1" ref="I62" ca="1">IF(SUM(OFFSET(Factors,VALUE(RIGHT(I$34,2)),1,1,68))=0,"None",SQRT(SUM((OFFSET(Factors,VALUE(RIGHT(I$34,2)),1,1,68)-$R62:$CG62)^2)))</f>
        <v>3.285643703363855</v>
      </c>
      <c r="J62" s="10">
        <f t="array" aca="1" ref="J62" ca="1">IF(SUM(OFFSET(Factors,VALUE(RIGHT(J$34,2)),1,1,68))=0,"None",SQRT(SUM((OFFSET(Factors,VALUE(RIGHT(J$34,2)),1,1,68)-$R62:$CG62)^2)))</f>
        <v>3.3686050525402944</v>
      </c>
      <c r="K62" s="10" t="str">
        <f t="array" aca="1" ref="K62" ca="1">IF(SUM(OFFSET(Factors,VALUE(RIGHT(K$34,2)),1,1,68))=0,"None",SQRT(SUM((OFFSET(Factors,VALUE(RIGHT(K$34,2)),1,1,68)-$R62:$CG62)^2)))</f>
        <v>None</v>
      </c>
      <c r="L62" s="10" t="str">
        <f t="array" aca="1" ref="L62" ca="1">IF(SUM(OFFSET(Factors,VALUE(RIGHT(L$34,2)),1,1,68))=0,"None",SQRT(SUM((OFFSET(Factors,VALUE(RIGHT(L$34,2)),1,1,68)-$R62:$CG62)^2)))</f>
        <v>None</v>
      </c>
      <c r="M62" s="10" t="str">
        <f t="array" aca="1" ref="M62" ca="1">IF(SUM(OFFSET(Factors,VALUE(RIGHT(M$34,2)),1,1,68))=0,"None",SQRT(SUM((OFFSET(Factors,VALUE(RIGHT(M$34,2)),1,1,68)-$R62:$CG62)^2)))</f>
        <v>None</v>
      </c>
      <c r="N62" s="10" t="str">
        <f t="array" aca="1" ref="N62" ca="1">IF(SUM(OFFSET(Factors,VALUE(RIGHT(N$34,2)),1,1,68))=0,"None",SQRT(SUM((OFFSET(Factors,VALUE(RIGHT(N$34,2)),1,1,68)-$R62:$CG62)^2)))</f>
        <v>None</v>
      </c>
      <c r="O62" s="10" t="str">
        <f t="array" aca="1" ref="O62" ca="1">IF(SUM(OFFSET(Factors,VALUE(RIGHT(O$34,2)),1,1,68))=0,"None",SQRT(SUM((OFFSET(Factors,VALUE(RIGHT(O$34,2)),1,1,68)-$R62:$CG62)^2)))</f>
        <v>None</v>
      </c>
      <c r="Q62" s="10" t="s">
        <v>94</v>
      </c>
      <c r="R62" s="11">
        <v>0</v>
      </c>
      <c r="S62" s="11">
        <v>1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1</v>
      </c>
      <c r="AM62" s="11">
        <v>1</v>
      </c>
      <c r="AN62" s="11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1">
        <v>1</v>
      </c>
      <c r="AX62" s="11">
        <v>1</v>
      </c>
      <c r="AY62" s="11">
        <v>0</v>
      </c>
      <c r="AZ62" s="11">
        <v>1</v>
      </c>
      <c r="BA62" s="11">
        <v>0</v>
      </c>
      <c r="BB62" s="11">
        <v>0</v>
      </c>
      <c r="BC62" s="11">
        <v>0</v>
      </c>
      <c r="BD62" s="11">
        <v>0</v>
      </c>
      <c r="BE62" s="11">
        <v>0</v>
      </c>
      <c r="BF62" s="11">
        <v>0</v>
      </c>
      <c r="BG62" s="11">
        <v>0</v>
      </c>
      <c r="BH62" s="11">
        <v>0</v>
      </c>
      <c r="BI62" s="11">
        <v>0</v>
      </c>
      <c r="BJ62" s="11">
        <v>0</v>
      </c>
      <c r="BK62" s="11">
        <v>0</v>
      </c>
      <c r="BL62" s="11">
        <v>0</v>
      </c>
      <c r="BM62" s="11">
        <v>0</v>
      </c>
      <c r="BN62" s="11">
        <v>0</v>
      </c>
      <c r="BO62" s="11">
        <v>0</v>
      </c>
      <c r="BP62" s="11">
        <v>0</v>
      </c>
      <c r="BQ62" s="11">
        <v>0</v>
      </c>
      <c r="BR62" s="11">
        <v>1</v>
      </c>
      <c r="BS62" s="11">
        <v>1</v>
      </c>
      <c r="BT62" s="11">
        <v>0</v>
      </c>
      <c r="BU62" s="11">
        <v>0</v>
      </c>
      <c r="BV62" s="11">
        <v>1</v>
      </c>
      <c r="BW62" s="11">
        <v>0</v>
      </c>
      <c r="BX62" s="11">
        <v>0</v>
      </c>
      <c r="BY62" s="11">
        <v>0</v>
      </c>
      <c r="BZ62" s="11">
        <v>0</v>
      </c>
      <c r="CA62" s="11">
        <v>0</v>
      </c>
      <c r="CB62" s="11">
        <v>0</v>
      </c>
      <c r="CC62" s="11">
        <v>0</v>
      </c>
      <c r="CD62" s="11">
        <v>0</v>
      </c>
      <c r="CE62" s="11">
        <v>0</v>
      </c>
      <c r="CF62" s="11">
        <v>0</v>
      </c>
      <c r="CG62" s="11">
        <v>0</v>
      </c>
      <c r="CH62" s="11">
        <f ca="1">E62</f>
        <v>2</v>
      </c>
    </row>
    <row r="63" spans="4:86" x14ac:dyDescent="0.3">
      <c r="D63" s="11">
        <v>5</v>
      </c>
      <c r="E63" s="11">
        <f t="shared" ca="1" si="13"/>
        <v>2</v>
      </c>
      <c r="F63" s="10">
        <f t="array" aca="1" ref="F63" ca="1">IF(SUM(OFFSET(Factors,VALUE(RIGHT(F$34,2)),1,1,68))=0,"None",SQRT(SUM((OFFSET(Factors,VALUE(RIGHT(F$34,2)),1,1,68)-$R63:$CG63)^2)))</f>
        <v>3.1054946823690139</v>
      </c>
      <c r="G63" s="10">
        <f t="array" aca="1" ref="G63" ca="1">IF(SUM(OFFSET(Factors,VALUE(RIGHT(G$34,2)),1,1,68))=0,"None",SQRT(SUM((OFFSET(Factors,VALUE(RIGHT(G$34,2)),1,1,68)-$R63:$CG63)^2)))</f>
        <v>2.6669132035938028</v>
      </c>
      <c r="H63" s="10">
        <f t="array" aca="1" ref="H63" ca="1">IF(SUM(OFFSET(Factors,VALUE(RIGHT(H$34,2)),1,1,68))=0,"None",SQRT(SUM((OFFSET(Factors,VALUE(RIGHT(H$34,2)),1,1,68)-$R63:$CG63)^2)))</f>
        <v>2.9982693970293308</v>
      </c>
      <c r="I63" s="10">
        <f t="array" aca="1" ref="I63" ca="1">IF(SUM(OFFSET(Factors,VALUE(RIGHT(I$34,2)),1,1,68))=0,"None",SQRT(SUM((OFFSET(Factors,VALUE(RIGHT(I$34,2)),1,1,68)-$R63:$CG63)^2)))</f>
        <v>2.903759318851717</v>
      </c>
      <c r="J63" s="10">
        <f t="array" aca="1" ref="J63" ca="1">IF(SUM(OFFSET(Factors,VALUE(RIGHT(J$34,2)),1,1,68))=0,"None",SQRT(SUM((OFFSET(Factors,VALUE(RIGHT(J$34,2)),1,1,68)-$R63:$CG63)^2)))</f>
        <v>3.1697791721190924</v>
      </c>
      <c r="K63" s="10" t="str">
        <f t="array" aca="1" ref="K63" ca="1">IF(SUM(OFFSET(Factors,VALUE(RIGHT(K$34,2)),1,1,68))=0,"None",SQRT(SUM((OFFSET(Factors,VALUE(RIGHT(K$34,2)),1,1,68)-$R63:$CG63)^2)))</f>
        <v>None</v>
      </c>
      <c r="L63" s="10" t="str">
        <f t="array" aca="1" ref="L63" ca="1">IF(SUM(OFFSET(Factors,VALUE(RIGHT(L$34,2)),1,1,68))=0,"None",SQRT(SUM((OFFSET(Factors,VALUE(RIGHT(L$34,2)),1,1,68)-$R63:$CG63)^2)))</f>
        <v>None</v>
      </c>
      <c r="M63" s="10" t="str">
        <f t="array" aca="1" ref="M63" ca="1">IF(SUM(OFFSET(Factors,VALUE(RIGHT(M$34,2)),1,1,68))=0,"None",SQRT(SUM((OFFSET(Factors,VALUE(RIGHT(M$34,2)),1,1,68)-$R63:$CG63)^2)))</f>
        <v>None</v>
      </c>
      <c r="N63" s="10" t="str">
        <f t="array" aca="1" ref="N63" ca="1">IF(SUM(OFFSET(Factors,VALUE(RIGHT(N$34,2)),1,1,68))=0,"None",SQRT(SUM((OFFSET(Factors,VALUE(RIGHT(N$34,2)),1,1,68)-$R63:$CG63)^2)))</f>
        <v>None</v>
      </c>
      <c r="O63" s="10" t="str">
        <f t="array" aca="1" ref="O63" ca="1">IF(SUM(OFFSET(Factors,VALUE(RIGHT(O$34,2)),1,1,68))=0,"None",SQRT(SUM((OFFSET(Factors,VALUE(RIGHT(O$34,2)),1,1,68)-$R63:$CG63)^2)))</f>
        <v>None</v>
      </c>
      <c r="Q63" s="10" t="s">
        <v>90</v>
      </c>
      <c r="R63" s="11">
        <v>0</v>
      </c>
      <c r="S63" s="11">
        <v>0</v>
      </c>
      <c r="T63" s="11">
        <v>0</v>
      </c>
      <c r="U63" s="11">
        <v>1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1</v>
      </c>
      <c r="AJ63" s="11">
        <v>0</v>
      </c>
      <c r="AK63" s="11">
        <v>0</v>
      </c>
      <c r="AL63" s="11">
        <v>0</v>
      </c>
      <c r="AM63" s="11">
        <v>0</v>
      </c>
      <c r="AN63" s="11">
        <v>0</v>
      </c>
      <c r="AO63" s="11">
        <v>0</v>
      </c>
      <c r="AP63" s="11">
        <v>0</v>
      </c>
      <c r="AQ63" s="11">
        <v>0</v>
      </c>
      <c r="AR63" s="11">
        <v>0</v>
      </c>
      <c r="AS63" s="11">
        <v>0</v>
      </c>
      <c r="AT63" s="11">
        <v>0</v>
      </c>
      <c r="AU63" s="11">
        <v>0</v>
      </c>
      <c r="AV63" s="11">
        <v>1</v>
      </c>
      <c r="AW63" s="11">
        <v>1</v>
      </c>
      <c r="AX63" s="11">
        <v>1</v>
      </c>
      <c r="AY63" s="11">
        <v>0</v>
      </c>
      <c r="AZ63" s="11">
        <v>0</v>
      </c>
      <c r="BA63" s="11">
        <v>1</v>
      </c>
      <c r="BB63" s="11">
        <v>0</v>
      </c>
      <c r="BC63" s="11">
        <v>0</v>
      </c>
      <c r="BD63" s="11">
        <v>0</v>
      </c>
      <c r="BE63" s="11">
        <v>0</v>
      </c>
      <c r="BF63" s="11">
        <v>1</v>
      </c>
      <c r="BG63" s="11">
        <v>0</v>
      </c>
      <c r="BH63" s="11">
        <v>0</v>
      </c>
      <c r="BI63" s="11">
        <v>1</v>
      </c>
      <c r="BJ63" s="11">
        <v>1</v>
      </c>
      <c r="BK63" s="11">
        <v>0</v>
      </c>
      <c r="BL63" s="11">
        <v>0</v>
      </c>
      <c r="BM63" s="11">
        <v>0</v>
      </c>
      <c r="BN63" s="11">
        <v>0</v>
      </c>
      <c r="BO63" s="11">
        <v>1</v>
      </c>
      <c r="BP63" s="11">
        <v>0</v>
      </c>
      <c r="BQ63" s="11">
        <v>0</v>
      </c>
      <c r="BR63" s="11">
        <v>0</v>
      </c>
      <c r="BS63" s="11">
        <v>0</v>
      </c>
      <c r="BT63" s="11">
        <v>0</v>
      </c>
      <c r="BU63" s="11">
        <v>0</v>
      </c>
      <c r="BV63" s="11">
        <v>0</v>
      </c>
      <c r="BW63" s="11">
        <v>0</v>
      </c>
      <c r="BX63" s="11">
        <v>0</v>
      </c>
      <c r="BY63" s="11">
        <v>0</v>
      </c>
      <c r="BZ63" s="11">
        <v>0</v>
      </c>
      <c r="CA63" s="11">
        <v>0</v>
      </c>
      <c r="CB63" s="11">
        <v>0</v>
      </c>
      <c r="CC63" s="11">
        <v>0</v>
      </c>
      <c r="CD63" s="11">
        <v>0</v>
      </c>
      <c r="CE63" s="11">
        <v>0</v>
      </c>
      <c r="CF63" s="11">
        <v>0</v>
      </c>
      <c r="CG63" s="11">
        <v>0</v>
      </c>
      <c r="CH63" s="11">
        <f ca="1">E63</f>
        <v>2</v>
      </c>
    </row>
    <row r="64" spans="4:86" x14ac:dyDescent="0.3">
      <c r="D64" s="11">
        <v>5</v>
      </c>
      <c r="E64" s="11">
        <f t="shared" ca="1" si="13"/>
        <v>2</v>
      </c>
      <c r="F64" s="10">
        <f t="array" aca="1" ref="F64" ca="1">IF(SUM(OFFSET(Factors,VALUE(RIGHT(F$34,2)),1,1,68))=0,"None",SQRT(SUM((OFFSET(Factors,VALUE(RIGHT(F$34,2)),1,1,68)-$R64:$CG64)^2)))</f>
        <v>3.0239208359714422</v>
      </c>
      <c r="G64" s="10">
        <f t="array" aca="1" ref="G64" ca="1">IF(SUM(OFFSET(Factors,VALUE(RIGHT(G$34,2)),1,1,68))=0,"None",SQRT(SUM((OFFSET(Factors,VALUE(RIGHT(G$34,2)),1,1,68)-$R64:$CG64)^2)))</f>
        <v>2.4567260650263556</v>
      </c>
      <c r="H64" s="10">
        <f t="array" aca="1" ref="H64" ca="1">IF(SUM(OFFSET(Factors,VALUE(RIGHT(H$34,2)),1,1,68))=0,"None",SQRT(SUM((OFFSET(Factors,VALUE(RIGHT(H$34,2)),1,1,68)-$R64:$CG64)^2)))</f>
        <v>2.8369777768911755</v>
      </c>
      <c r="I64" s="10">
        <f t="array" aca="1" ref="I64" ca="1">IF(SUM(OFFSET(Factors,VALUE(RIGHT(I$34,2)),1,1,68))=0,"None",SQRT(SUM((OFFSET(Factors,VALUE(RIGHT(I$34,2)),1,1,68)-$R64:$CG64)^2)))</f>
        <v>2.8244066150738152</v>
      </c>
      <c r="J64" s="10">
        <f t="array" aca="1" ref="J64" ca="1">IF(SUM(OFFSET(Factors,VALUE(RIGHT(J$34,2)),1,1,68))=0,"None",SQRT(SUM((OFFSET(Factors,VALUE(RIGHT(J$34,2)),1,1,68)-$R64:$CG64)^2)))</f>
        <v>3.2167530212933664</v>
      </c>
      <c r="K64" s="10" t="str">
        <f t="array" aca="1" ref="K64" ca="1">IF(SUM(OFFSET(Factors,VALUE(RIGHT(K$34,2)),1,1,68))=0,"None",SQRT(SUM((OFFSET(Factors,VALUE(RIGHT(K$34,2)),1,1,68)-$R64:$CG64)^2)))</f>
        <v>None</v>
      </c>
      <c r="L64" s="10" t="str">
        <f t="array" aca="1" ref="L64" ca="1">IF(SUM(OFFSET(Factors,VALUE(RIGHT(L$34,2)),1,1,68))=0,"None",SQRT(SUM((OFFSET(Factors,VALUE(RIGHT(L$34,2)),1,1,68)-$R64:$CG64)^2)))</f>
        <v>None</v>
      </c>
      <c r="M64" s="10" t="str">
        <f t="array" aca="1" ref="M64" ca="1">IF(SUM(OFFSET(Factors,VALUE(RIGHT(M$34,2)),1,1,68))=0,"None",SQRT(SUM((OFFSET(Factors,VALUE(RIGHT(M$34,2)),1,1,68)-$R64:$CG64)^2)))</f>
        <v>None</v>
      </c>
      <c r="N64" s="10" t="str">
        <f t="array" aca="1" ref="N64" ca="1">IF(SUM(OFFSET(Factors,VALUE(RIGHT(N$34,2)),1,1,68))=0,"None",SQRT(SUM((OFFSET(Factors,VALUE(RIGHT(N$34,2)),1,1,68)-$R64:$CG64)^2)))</f>
        <v>None</v>
      </c>
      <c r="O64" s="10" t="str">
        <f t="array" aca="1" ref="O64" ca="1">IF(SUM(OFFSET(Factors,VALUE(RIGHT(O$34,2)),1,1,68))=0,"None",SQRT(SUM((OFFSET(Factors,VALUE(RIGHT(O$34,2)),1,1,68)-$R64:$CG64)^2)))</f>
        <v>None</v>
      </c>
      <c r="Q64" s="10" t="s">
        <v>89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1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1</v>
      </c>
      <c r="AK64" s="11">
        <v>0</v>
      </c>
      <c r="AL64" s="11">
        <v>0</v>
      </c>
      <c r="AM64" s="11">
        <v>0</v>
      </c>
      <c r="AN64" s="11">
        <v>1</v>
      </c>
      <c r="AO64" s="11">
        <v>0</v>
      </c>
      <c r="AP64" s="11">
        <v>0</v>
      </c>
      <c r="AQ64" s="11">
        <v>0</v>
      </c>
      <c r="AR64" s="11">
        <v>0</v>
      </c>
      <c r="AS64" s="11">
        <v>1</v>
      </c>
      <c r="AT64" s="11">
        <v>0</v>
      </c>
      <c r="AU64" s="11">
        <v>0</v>
      </c>
      <c r="AV64" s="11">
        <v>0</v>
      </c>
      <c r="AW64" s="11">
        <v>1</v>
      </c>
      <c r="AX64" s="11">
        <v>1</v>
      </c>
      <c r="AY64" s="11">
        <v>0</v>
      </c>
      <c r="AZ64" s="11">
        <v>0</v>
      </c>
      <c r="BA64" s="11">
        <v>0</v>
      </c>
      <c r="BB64" s="11">
        <v>0</v>
      </c>
      <c r="BC64" s="11">
        <v>0</v>
      </c>
      <c r="BD64" s="11">
        <v>0</v>
      </c>
      <c r="BE64" s="11">
        <v>0</v>
      </c>
      <c r="BF64" s="11">
        <v>1</v>
      </c>
      <c r="BG64" s="11">
        <v>1</v>
      </c>
      <c r="BH64" s="11">
        <v>0</v>
      </c>
      <c r="BI64" s="11">
        <v>0</v>
      </c>
      <c r="BJ64" s="11">
        <v>1</v>
      </c>
      <c r="BK64" s="11">
        <v>0</v>
      </c>
      <c r="BL64" s="11">
        <v>0</v>
      </c>
      <c r="BM64" s="11">
        <v>0</v>
      </c>
      <c r="BN64" s="11">
        <v>0</v>
      </c>
      <c r="BO64" s="11">
        <v>1</v>
      </c>
      <c r="BP64" s="11">
        <v>0</v>
      </c>
      <c r="BQ64" s="11">
        <v>0</v>
      </c>
      <c r="BR64" s="11">
        <v>0</v>
      </c>
      <c r="BS64" s="11">
        <v>0</v>
      </c>
      <c r="BT64" s="11">
        <v>0</v>
      </c>
      <c r="BU64" s="11">
        <v>0</v>
      </c>
      <c r="BV64" s="11">
        <v>0</v>
      </c>
      <c r="BW64" s="11">
        <v>0</v>
      </c>
      <c r="BX64" s="11">
        <v>0</v>
      </c>
      <c r="BY64" s="11">
        <v>0</v>
      </c>
      <c r="BZ64" s="11">
        <v>0</v>
      </c>
      <c r="CA64" s="11">
        <v>0</v>
      </c>
      <c r="CB64" s="11">
        <v>0</v>
      </c>
      <c r="CC64" s="11">
        <v>0</v>
      </c>
      <c r="CD64" s="11">
        <v>0</v>
      </c>
      <c r="CE64" s="11">
        <v>0</v>
      </c>
      <c r="CF64" s="11">
        <v>0</v>
      </c>
      <c r="CG64" s="11">
        <v>0</v>
      </c>
      <c r="CH64" s="11">
        <f ca="1">E64</f>
        <v>2</v>
      </c>
    </row>
    <row r="65" spans="4:86" x14ac:dyDescent="0.3">
      <c r="D65" s="11">
        <v>5</v>
      </c>
      <c r="E65" s="11">
        <f t="shared" ca="1" si="13"/>
        <v>2</v>
      </c>
      <c r="F65" s="10">
        <f t="array" aca="1" ref="F65" ca="1">IF(SUM(OFFSET(Factors,VALUE(RIGHT(F$34,2)),1,1,68))=0,"None",SQRT(SUM((OFFSET(Factors,VALUE(RIGHT(F$34,2)),1,1,68)-$R65:$CG65)^2)))</f>
        <v>3.2239877825795533</v>
      </c>
      <c r="G65" s="10">
        <f t="array" aca="1" ref="G65" ca="1">IF(SUM(OFFSET(Factors,VALUE(RIGHT(G$34,2)),1,1,68))=0,"None",SQRT(SUM((OFFSET(Factors,VALUE(RIGHT(G$34,2)),1,1,68)-$R65:$CG65)^2)))</f>
        <v>2.8617038827289654</v>
      </c>
      <c r="H65" s="10">
        <f t="array" aca="1" ref="H65" ca="1">IF(SUM(OFFSET(Factors,VALUE(RIGHT(H$34,2)),1,1,68))=0,"None",SQRT(SUM((OFFSET(Factors,VALUE(RIGHT(H$34,2)),1,1,68)-$R65:$CG65)^2)))</f>
        <v>3.1513165261126757</v>
      </c>
      <c r="I65" s="10">
        <f t="array" aca="1" ref="I65" ca="1">IF(SUM(OFFSET(Factors,VALUE(RIGHT(I$34,2)),1,1,68))=0,"None",SQRT(SUM((OFFSET(Factors,VALUE(RIGHT(I$34,2)),1,1,68)-$R65:$CG65)^2)))</f>
        <v>2.9348997195196231</v>
      </c>
      <c r="J65" s="10">
        <f t="array" aca="1" ref="J65" ca="1">IF(SUM(OFFSET(Factors,VALUE(RIGHT(J$34,2)),1,1,68))=0,"None",SQRT(SUM((OFFSET(Factors,VALUE(RIGHT(J$34,2)),1,1,68)-$R65:$CG65)^2)))</f>
        <v>3.2630507198019463</v>
      </c>
      <c r="K65" s="10" t="str">
        <f t="array" aca="1" ref="K65" ca="1">IF(SUM(OFFSET(Factors,VALUE(RIGHT(K$34,2)),1,1,68))=0,"None",SQRT(SUM((OFFSET(Factors,VALUE(RIGHT(K$34,2)),1,1,68)-$R65:$CG65)^2)))</f>
        <v>None</v>
      </c>
      <c r="L65" s="10" t="str">
        <f t="array" aca="1" ref="L65" ca="1">IF(SUM(OFFSET(Factors,VALUE(RIGHT(L$34,2)),1,1,68))=0,"None",SQRT(SUM((OFFSET(Factors,VALUE(RIGHT(L$34,2)),1,1,68)-$R65:$CG65)^2)))</f>
        <v>None</v>
      </c>
      <c r="M65" s="10" t="str">
        <f t="array" aca="1" ref="M65" ca="1">IF(SUM(OFFSET(Factors,VALUE(RIGHT(M$34,2)),1,1,68))=0,"None",SQRT(SUM((OFFSET(Factors,VALUE(RIGHT(M$34,2)),1,1,68)-$R65:$CG65)^2)))</f>
        <v>None</v>
      </c>
      <c r="N65" s="10" t="str">
        <f t="array" aca="1" ref="N65" ca="1">IF(SUM(OFFSET(Factors,VALUE(RIGHT(N$34,2)),1,1,68))=0,"None",SQRT(SUM((OFFSET(Factors,VALUE(RIGHT(N$34,2)),1,1,68)-$R65:$CG65)^2)))</f>
        <v>None</v>
      </c>
      <c r="O65" s="10" t="str">
        <f t="array" aca="1" ref="O65" ca="1">IF(SUM(OFFSET(Factors,VALUE(RIGHT(O$34,2)),1,1,68))=0,"None",SQRT(SUM((OFFSET(Factors,VALUE(RIGHT(O$34,2)),1,1,68)-$R65:$CG65)^2)))</f>
        <v>None</v>
      </c>
      <c r="Q65" s="10" t="s">
        <v>84</v>
      </c>
      <c r="R65" s="11">
        <v>0</v>
      </c>
      <c r="S65" s="11">
        <v>0</v>
      </c>
      <c r="T65" s="11">
        <v>0</v>
      </c>
      <c r="U65" s="11">
        <v>0</v>
      </c>
      <c r="V65" s="11">
        <v>1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1</v>
      </c>
      <c r="AL65" s="11">
        <v>1</v>
      </c>
      <c r="AM65" s="11">
        <v>1</v>
      </c>
      <c r="AN65" s="11">
        <v>0</v>
      </c>
      <c r="AO65" s="11">
        <v>0</v>
      </c>
      <c r="AP65" s="11">
        <v>0</v>
      </c>
      <c r="AQ65" s="11">
        <v>0</v>
      </c>
      <c r="AR65" s="11">
        <v>0</v>
      </c>
      <c r="AS65" s="11">
        <v>0</v>
      </c>
      <c r="AT65" s="11">
        <v>0</v>
      </c>
      <c r="AU65" s="11">
        <v>0</v>
      </c>
      <c r="AV65" s="11">
        <v>0</v>
      </c>
      <c r="AW65" s="11">
        <v>1</v>
      </c>
      <c r="AX65" s="11">
        <v>0</v>
      </c>
      <c r="AY65" s="11">
        <v>1</v>
      </c>
      <c r="AZ65" s="11">
        <v>0</v>
      </c>
      <c r="BA65" s="11">
        <v>1</v>
      </c>
      <c r="BB65" s="11">
        <v>0</v>
      </c>
      <c r="BC65" s="11">
        <v>0</v>
      </c>
      <c r="BD65" s="11">
        <v>0</v>
      </c>
      <c r="BE65" s="11">
        <v>0</v>
      </c>
      <c r="BF65" s="11">
        <v>0</v>
      </c>
      <c r="BG65" s="11">
        <v>1</v>
      </c>
      <c r="BH65" s="11">
        <v>0</v>
      </c>
      <c r="BI65" s="11">
        <v>1</v>
      </c>
      <c r="BJ65" s="11">
        <v>1</v>
      </c>
      <c r="BK65" s="11">
        <v>0</v>
      </c>
      <c r="BL65" s="11">
        <v>0</v>
      </c>
      <c r="BM65" s="11">
        <v>0</v>
      </c>
      <c r="BN65" s="11">
        <v>1</v>
      </c>
      <c r="BO65" s="11">
        <v>0</v>
      </c>
      <c r="BP65" s="11">
        <v>0</v>
      </c>
      <c r="BQ65" s="11">
        <v>0</v>
      </c>
      <c r="BR65" s="11">
        <v>0</v>
      </c>
      <c r="BS65" s="11">
        <v>0</v>
      </c>
      <c r="BT65" s="11">
        <v>0</v>
      </c>
      <c r="BU65" s="11">
        <v>0</v>
      </c>
      <c r="BV65" s="11">
        <v>0</v>
      </c>
      <c r="BW65" s="11">
        <v>0</v>
      </c>
      <c r="BX65" s="11">
        <v>0</v>
      </c>
      <c r="BY65" s="11">
        <v>0</v>
      </c>
      <c r="BZ65" s="11">
        <v>0</v>
      </c>
      <c r="CA65" s="11">
        <v>0</v>
      </c>
      <c r="CB65" s="11">
        <v>0</v>
      </c>
      <c r="CC65" s="11">
        <v>0</v>
      </c>
      <c r="CD65" s="11">
        <v>0</v>
      </c>
      <c r="CE65" s="11">
        <v>0</v>
      </c>
      <c r="CF65" s="11">
        <v>0</v>
      </c>
      <c r="CG65" s="11">
        <v>1</v>
      </c>
      <c r="CH65" s="11">
        <f ca="1">E65</f>
        <v>2</v>
      </c>
    </row>
    <row r="66" spans="4:86" x14ac:dyDescent="0.3">
      <c r="D66" s="11">
        <v>2</v>
      </c>
      <c r="E66" s="11">
        <f t="shared" ca="1" si="13"/>
        <v>2</v>
      </c>
      <c r="F66" s="10">
        <f t="array" aca="1" ref="F66" ca="1">IF(SUM(OFFSET(Factors,VALUE(RIGHT(F$34,2)),1,1,68))=0,"None",SQRT(SUM((OFFSET(Factors,VALUE(RIGHT(F$34,2)),1,1,68)-$R66:$CG66)^2)))</f>
        <v>3.3631479136203466</v>
      </c>
      <c r="G66" s="10">
        <f t="array" aca="1" ref="G66" ca="1">IF(SUM(OFFSET(Factors,VALUE(RIGHT(G$34,2)),1,1,68))=0,"None",SQRT(SUM((OFFSET(Factors,VALUE(RIGHT(G$34,2)),1,1,68)-$R66:$CG66)^2)))</f>
        <v>2.3932844901698531</v>
      </c>
      <c r="H66" s="10">
        <f t="array" aca="1" ref="H66" ca="1">IF(SUM(OFFSET(Factors,VALUE(RIGHT(H$34,2)),1,1,68))=0,"None",SQRT(SUM((OFFSET(Factors,VALUE(RIGHT(H$34,2)),1,1,68)-$R66:$CG66)^2)))</f>
        <v>3.2251176851465404</v>
      </c>
      <c r="I66" s="10">
        <f t="array" aca="1" ref="I66" ca="1">IF(SUM(OFFSET(Factors,VALUE(RIGHT(I$34,2)),1,1,68))=0,"None",SQRT(SUM((OFFSET(Factors,VALUE(RIGHT(I$34,2)),1,1,68)-$R66:$CG66)^2)))</f>
        <v>3.1005864547914754</v>
      </c>
      <c r="J66" s="10">
        <f t="array" aca="1" ref="J66" ca="1">IF(SUM(OFFSET(Factors,VALUE(RIGHT(J$34,2)),1,1,68))=0,"None",SQRT(SUM((OFFSET(Factors,VALUE(RIGHT(J$34,2)),1,1,68)-$R66:$CG66)^2)))</f>
        <v>3.1855140872392949</v>
      </c>
      <c r="K66" s="10" t="str">
        <f t="array" aca="1" ref="K66" ca="1">IF(SUM(OFFSET(Factors,VALUE(RIGHT(K$34,2)),1,1,68))=0,"None",SQRT(SUM((OFFSET(Factors,VALUE(RIGHT(K$34,2)),1,1,68)-$R66:$CG66)^2)))</f>
        <v>None</v>
      </c>
      <c r="L66" s="10" t="str">
        <f t="array" aca="1" ref="L66" ca="1">IF(SUM(OFFSET(Factors,VALUE(RIGHT(L$34,2)),1,1,68))=0,"None",SQRT(SUM((OFFSET(Factors,VALUE(RIGHT(L$34,2)),1,1,68)-$R66:$CG66)^2)))</f>
        <v>None</v>
      </c>
      <c r="M66" s="10" t="str">
        <f t="array" aca="1" ref="M66" ca="1">IF(SUM(OFFSET(Factors,VALUE(RIGHT(M$34,2)),1,1,68))=0,"None",SQRT(SUM((OFFSET(Factors,VALUE(RIGHT(M$34,2)),1,1,68)-$R66:$CG66)^2)))</f>
        <v>None</v>
      </c>
      <c r="N66" s="10" t="str">
        <f t="array" aca="1" ref="N66" ca="1">IF(SUM(OFFSET(Factors,VALUE(RIGHT(N$34,2)),1,1,68))=0,"None",SQRT(SUM((OFFSET(Factors,VALUE(RIGHT(N$34,2)),1,1,68)-$R66:$CG66)^2)))</f>
        <v>None</v>
      </c>
      <c r="O66" s="10" t="str">
        <f t="array" aca="1" ref="O66" ca="1">IF(SUM(OFFSET(Factors,VALUE(RIGHT(O$34,2)),1,1,68))=0,"None",SQRT(SUM((OFFSET(Factors,VALUE(RIGHT(O$34,2)),1,1,68)-$R66:$CG66)^2)))</f>
        <v>None</v>
      </c>
      <c r="Q66" s="10" t="s">
        <v>82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1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1</v>
      </c>
      <c r="AG66" s="11">
        <v>0</v>
      </c>
      <c r="AH66" s="11">
        <v>1</v>
      </c>
      <c r="AI66" s="11">
        <v>0</v>
      </c>
      <c r="AJ66" s="11">
        <v>0</v>
      </c>
      <c r="AK66" s="11">
        <v>0</v>
      </c>
      <c r="AL66" s="11">
        <v>0</v>
      </c>
      <c r="AM66" s="11">
        <v>1</v>
      </c>
      <c r="AN66" s="11">
        <v>0</v>
      </c>
      <c r="AO66" s="11">
        <v>0</v>
      </c>
      <c r="AP66" s="11">
        <v>0</v>
      </c>
      <c r="AQ66" s="11">
        <v>1</v>
      </c>
      <c r="AR66" s="11">
        <v>0</v>
      </c>
      <c r="AS66" s="11">
        <v>1</v>
      </c>
      <c r="AT66" s="11">
        <v>0</v>
      </c>
      <c r="AU66" s="11">
        <v>0</v>
      </c>
      <c r="AV66" s="11">
        <v>1</v>
      </c>
      <c r="AW66" s="11">
        <v>1</v>
      </c>
      <c r="AX66" s="11">
        <v>1</v>
      </c>
      <c r="AY66" s="11">
        <v>0</v>
      </c>
      <c r="AZ66" s="11">
        <v>0</v>
      </c>
      <c r="BA66" s="11">
        <v>0</v>
      </c>
      <c r="BB66" s="11">
        <v>0</v>
      </c>
      <c r="BC66" s="11">
        <v>0</v>
      </c>
      <c r="BD66" s="11">
        <v>0</v>
      </c>
      <c r="BE66" s="11">
        <v>0</v>
      </c>
      <c r="BF66" s="11">
        <v>1</v>
      </c>
      <c r="BG66" s="11">
        <v>0</v>
      </c>
      <c r="BH66" s="11">
        <v>1</v>
      </c>
      <c r="BI66" s="11">
        <v>0</v>
      </c>
      <c r="BJ66" s="11">
        <v>0</v>
      </c>
      <c r="BK66" s="11">
        <v>0</v>
      </c>
      <c r="BL66" s="11">
        <v>0</v>
      </c>
      <c r="BM66" s="11">
        <v>0</v>
      </c>
      <c r="BN66" s="11">
        <v>0</v>
      </c>
      <c r="BO66" s="11">
        <v>0</v>
      </c>
      <c r="BP66" s="11">
        <v>0</v>
      </c>
      <c r="BQ66" s="11">
        <v>0</v>
      </c>
      <c r="BR66" s="11">
        <v>0</v>
      </c>
      <c r="BS66" s="11">
        <v>0</v>
      </c>
      <c r="BT66" s="11">
        <v>0</v>
      </c>
      <c r="BU66" s="11">
        <v>0</v>
      </c>
      <c r="BV66" s="11">
        <v>0</v>
      </c>
      <c r="BW66" s="11">
        <v>0</v>
      </c>
      <c r="BX66" s="11">
        <v>0</v>
      </c>
      <c r="BY66" s="11">
        <v>0</v>
      </c>
      <c r="BZ66" s="11">
        <v>0</v>
      </c>
      <c r="CA66" s="11">
        <v>0</v>
      </c>
      <c r="CB66" s="11">
        <v>0</v>
      </c>
      <c r="CC66" s="11">
        <v>0</v>
      </c>
      <c r="CD66" s="11">
        <v>0</v>
      </c>
      <c r="CE66" s="11">
        <v>1</v>
      </c>
      <c r="CF66" s="11">
        <v>0</v>
      </c>
      <c r="CG66" s="11">
        <v>0</v>
      </c>
      <c r="CH66" s="11">
        <f ca="1">E66</f>
        <v>2</v>
      </c>
    </row>
    <row r="67" spans="4:86" x14ac:dyDescent="0.3">
      <c r="D67" s="11">
        <v>4</v>
      </c>
      <c r="E67" s="11">
        <f t="shared" ref="E67:E98" ca="1" si="14">MATCH(MIN(F67:O67),F67:O67,0)</f>
        <v>2</v>
      </c>
      <c r="F67" s="10">
        <f t="array" aca="1" ref="F67" ca="1">IF(SUM(OFFSET(Factors,VALUE(RIGHT(F$34,2)),1,1,68))=0,"None",SQRT(SUM((OFFSET(Factors,VALUE(RIGHT(F$34,2)),1,1,68)-$R67:$CG67)^2)))</f>
        <v>3.2625292676422424</v>
      </c>
      <c r="G67" s="10">
        <f t="array" aca="1" ref="G67" ca="1">IF(SUM(OFFSET(Factors,VALUE(RIGHT(G$34,2)),1,1,68))=0,"None",SQRT(SUM((OFFSET(Factors,VALUE(RIGHT(G$34,2)),1,1,68)-$R67:$CG67)^2)))</f>
        <v>3.0941823632490415</v>
      </c>
      <c r="H67" s="10">
        <f t="array" aca="1" ref="H67" ca="1">IF(SUM(OFFSET(Factors,VALUE(RIGHT(H$34,2)),1,1,68))=0,"None",SQRT(SUM((OFFSET(Factors,VALUE(RIGHT(H$34,2)),1,1,68)-$R67:$CG67)^2)))</f>
        <v>3.1884306430276825</v>
      </c>
      <c r="I67" s="10">
        <f t="array" aca="1" ref="I67" ca="1">IF(SUM(OFFSET(Factors,VALUE(RIGHT(I$34,2)),1,1,68))=0,"None",SQRT(SUM((OFFSET(Factors,VALUE(RIGHT(I$34,2)),1,1,68)-$R67:$CG67)^2)))</f>
        <v>3.421190648669767</v>
      </c>
      <c r="J67" s="10">
        <f t="array" aca="1" ref="J67" ca="1">IF(SUM(OFFSET(Factors,VALUE(RIGHT(J$34,2)),1,1,68))=0,"None",SQRT(SUM((OFFSET(Factors,VALUE(RIGHT(J$34,2)),1,1,68)-$R67:$CG67)^2)))</f>
        <v>3.6121323342314025</v>
      </c>
      <c r="K67" s="10" t="str">
        <f t="array" aca="1" ref="K67" ca="1">IF(SUM(OFFSET(Factors,VALUE(RIGHT(K$34,2)),1,1,68))=0,"None",SQRT(SUM((OFFSET(Factors,VALUE(RIGHT(K$34,2)),1,1,68)-$R67:$CG67)^2)))</f>
        <v>None</v>
      </c>
      <c r="L67" s="10" t="str">
        <f t="array" aca="1" ref="L67" ca="1">IF(SUM(OFFSET(Factors,VALUE(RIGHT(L$34,2)),1,1,68))=0,"None",SQRT(SUM((OFFSET(Factors,VALUE(RIGHT(L$34,2)),1,1,68)-$R67:$CG67)^2)))</f>
        <v>None</v>
      </c>
      <c r="M67" s="10" t="str">
        <f t="array" aca="1" ref="M67" ca="1">IF(SUM(OFFSET(Factors,VALUE(RIGHT(M$34,2)),1,1,68))=0,"None",SQRT(SUM((OFFSET(Factors,VALUE(RIGHT(M$34,2)),1,1,68)-$R67:$CG67)^2)))</f>
        <v>None</v>
      </c>
      <c r="N67" s="10" t="str">
        <f t="array" aca="1" ref="N67" ca="1">IF(SUM(OFFSET(Factors,VALUE(RIGHT(N$34,2)),1,1,68))=0,"None",SQRT(SUM((OFFSET(Factors,VALUE(RIGHT(N$34,2)),1,1,68)-$R67:$CG67)^2)))</f>
        <v>None</v>
      </c>
      <c r="O67" s="10" t="str">
        <f t="array" aca="1" ref="O67" ca="1">IF(SUM(OFFSET(Factors,VALUE(RIGHT(O$34,2)),1,1,68))=0,"None",SQRT(SUM((OFFSET(Factors,VALUE(RIGHT(O$34,2)),1,1,68)-$R67:$CG67)^2)))</f>
        <v>None</v>
      </c>
      <c r="Q67" s="10" t="s">
        <v>77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1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1</v>
      </c>
      <c r="AG67" s="11">
        <v>1</v>
      </c>
      <c r="AH67" s="11">
        <v>0</v>
      </c>
      <c r="AI67" s="11">
        <v>0</v>
      </c>
      <c r="AJ67" s="11">
        <v>0</v>
      </c>
      <c r="AK67" s="11">
        <v>1</v>
      </c>
      <c r="AL67" s="11">
        <v>0</v>
      </c>
      <c r="AM67" s="11">
        <v>0</v>
      </c>
      <c r="AN67" s="11">
        <v>1</v>
      </c>
      <c r="AO67" s="11">
        <v>0</v>
      </c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11">
        <v>0</v>
      </c>
      <c r="AW67" s="11">
        <v>0</v>
      </c>
      <c r="AX67" s="11">
        <v>1</v>
      </c>
      <c r="AY67" s="11">
        <v>1</v>
      </c>
      <c r="AZ67" s="11">
        <v>0</v>
      </c>
      <c r="BA67" s="11">
        <v>0</v>
      </c>
      <c r="BB67" s="11">
        <v>0</v>
      </c>
      <c r="BC67" s="11">
        <v>0</v>
      </c>
      <c r="BD67" s="11">
        <v>0</v>
      </c>
      <c r="BE67" s="11">
        <v>1</v>
      </c>
      <c r="BF67" s="11">
        <v>0</v>
      </c>
      <c r="BG67" s="11">
        <v>1</v>
      </c>
      <c r="BH67" s="11">
        <v>1</v>
      </c>
      <c r="BI67" s="11">
        <v>1</v>
      </c>
      <c r="BJ67" s="11">
        <v>1</v>
      </c>
      <c r="BK67" s="11">
        <v>0</v>
      </c>
      <c r="BL67" s="11">
        <v>0</v>
      </c>
      <c r="BM67" s="11">
        <v>0</v>
      </c>
      <c r="BN67" s="11">
        <v>1</v>
      </c>
      <c r="BO67" s="11">
        <v>0</v>
      </c>
      <c r="BP67" s="11">
        <v>0</v>
      </c>
      <c r="BQ67" s="11">
        <v>0</v>
      </c>
      <c r="BR67" s="11">
        <v>0</v>
      </c>
      <c r="BS67" s="11">
        <v>0</v>
      </c>
      <c r="BT67" s="11">
        <v>0</v>
      </c>
      <c r="BU67" s="11">
        <v>0</v>
      </c>
      <c r="BV67" s="11">
        <v>0</v>
      </c>
      <c r="BW67" s="11">
        <v>0</v>
      </c>
      <c r="BX67" s="11">
        <v>0</v>
      </c>
      <c r="BY67" s="11">
        <v>0</v>
      </c>
      <c r="BZ67" s="11">
        <v>0</v>
      </c>
      <c r="CA67" s="11">
        <v>0</v>
      </c>
      <c r="CB67" s="11">
        <v>0</v>
      </c>
      <c r="CC67" s="11">
        <v>0</v>
      </c>
      <c r="CD67" s="11">
        <v>0</v>
      </c>
      <c r="CE67" s="11">
        <v>0</v>
      </c>
      <c r="CF67" s="11">
        <v>1</v>
      </c>
      <c r="CG67" s="11">
        <v>0</v>
      </c>
      <c r="CH67" s="11">
        <f ca="1">E67</f>
        <v>2</v>
      </c>
    </row>
    <row r="68" spans="4:86" x14ac:dyDescent="0.3">
      <c r="D68" s="11">
        <v>3</v>
      </c>
      <c r="E68" s="11">
        <f t="shared" ca="1" si="14"/>
        <v>2</v>
      </c>
      <c r="F68" s="10">
        <f t="array" aca="1" ref="F68" ca="1">IF(SUM(OFFSET(Factors,VALUE(RIGHT(F$34,2)),1,1,68))=0,"None",SQRT(SUM((OFFSET(Factors,VALUE(RIGHT(F$34,2)),1,1,68)-$R68:$CG68)^2)))</f>
        <v>3.1454883916845451</v>
      </c>
      <c r="G68" s="10">
        <f t="array" aca="1" ref="G68" ca="1">IF(SUM(OFFSET(Factors,VALUE(RIGHT(G$34,2)),1,1,68))=0,"None",SQRT(SUM((OFFSET(Factors,VALUE(RIGHT(G$34,2)),1,1,68)-$R68:$CG68)^2)))</f>
        <v>2.9542868261033113</v>
      </c>
      <c r="H68" s="10">
        <f t="array" aca="1" ref="H68" ca="1">IF(SUM(OFFSET(Factors,VALUE(RIGHT(H$34,2)),1,1,68))=0,"None",SQRT(SUM((OFFSET(Factors,VALUE(RIGHT(H$34,2)),1,1,68)-$R68:$CG68)^2)))</f>
        <v>3.1325945778104343</v>
      </c>
      <c r="I68" s="10">
        <f t="array" aca="1" ref="I68" ca="1">IF(SUM(OFFSET(Factors,VALUE(RIGHT(I$34,2)),1,1,68))=0,"None",SQRT(SUM((OFFSET(Factors,VALUE(RIGHT(I$34,2)),1,1,68)-$R68:$CG68)^2)))</f>
        <v>3.0858916495443061</v>
      </c>
      <c r="J68" s="10">
        <f t="array" aca="1" ref="J68" ca="1">IF(SUM(OFFSET(Factors,VALUE(RIGHT(J$34,2)),1,1,68))=0,"None",SQRT(SUM((OFFSET(Factors,VALUE(RIGHT(J$34,2)),1,1,68)-$R68:$CG68)^2)))</f>
        <v>3.2322592717787972</v>
      </c>
      <c r="K68" s="10" t="str">
        <f t="array" aca="1" ref="K68" ca="1">IF(SUM(OFFSET(Factors,VALUE(RIGHT(K$34,2)),1,1,68))=0,"None",SQRT(SUM((OFFSET(Factors,VALUE(RIGHT(K$34,2)),1,1,68)-$R68:$CG68)^2)))</f>
        <v>None</v>
      </c>
      <c r="L68" s="10" t="str">
        <f t="array" aca="1" ref="L68" ca="1">IF(SUM(OFFSET(Factors,VALUE(RIGHT(L$34,2)),1,1,68))=0,"None",SQRT(SUM((OFFSET(Factors,VALUE(RIGHT(L$34,2)),1,1,68)-$R68:$CG68)^2)))</f>
        <v>None</v>
      </c>
      <c r="M68" s="10" t="str">
        <f t="array" aca="1" ref="M68" ca="1">IF(SUM(OFFSET(Factors,VALUE(RIGHT(M$34,2)),1,1,68))=0,"None",SQRT(SUM((OFFSET(Factors,VALUE(RIGHT(M$34,2)),1,1,68)-$R68:$CG68)^2)))</f>
        <v>None</v>
      </c>
      <c r="N68" s="10" t="str">
        <f t="array" aca="1" ref="N68" ca="1">IF(SUM(OFFSET(Factors,VALUE(RIGHT(N$34,2)),1,1,68))=0,"None",SQRT(SUM((OFFSET(Factors,VALUE(RIGHT(N$34,2)),1,1,68)-$R68:$CG68)^2)))</f>
        <v>None</v>
      </c>
      <c r="O68" s="10" t="str">
        <f t="array" aca="1" ref="O68" ca="1">IF(SUM(OFFSET(Factors,VALUE(RIGHT(O$34,2)),1,1,68))=0,"None",SQRT(SUM((OFFSET(Factors,VALUE(RIGHT(O$34,2)),1,1,68)-$R68:$CG68)^2)))</f>
        <v>None</v>
      </c>
      <c r="Q68" s="10" t="s">
        <v>74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1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1</v>
      </c>
      <c r="AH68" s="11">
        <v>1</v>
      </c>
      <c r="AI68" s="11">
        <v>0</v>
      </c>
      <c r="AJ68" s="11">
        <v>0</v>
      </c>
      <c r="AK68" s="11">
        <v>0</v>
      </c>
      <c r="AL68" s="11">
        <v>1</v>
      </c>
      <c r="AM68" s="11">
        <v>0</v>
      </c>
      <c r="AN68" s="11">
        <v>0</v>
      </c>
      <c r="AO68" s="11">
        <v>1</v>
      </c>
      <c r="AP68" s="11">
        <v>1</v>
      </c>
      <c r="AQ68" s="11">
        <v>0</v>
      </c>
      <c r="AR68" s="11">
        <v>0</v>
      </c>
      <c r="AS68" s="11">
        <v>0</v>
      </c>
      <c r="AT68" s="11">
        <v>0</v>
      </c>
      <c r="AU68" s="11">
        <v>0</v>
      </c>
      <c r="AV68" s="11">
        <v>0</v>
      </c>
      <c r="AW68" s="11">
        <v>1</v>
      </c>
      <c r="AX68" s="11">
        <v>0</v>
      </c>
      <c r="AY68" s="11">
        <v>0</v>
      </c>
      <c r="AZ68" s="11">
        <v>0</v>
      </c>
      <c r="BA68" s="11">
        <v>0</v>
      </c>
      <c r="BB68" s="11">
        <v>0</v>
      </c>
      <c r="BC68" s="11">
        <v>0</v>
      </c>
      <c r="BD68" s="11">
        <v>0</v>
      </c>
      <c r="BE68" s="11">
        <v>0</v>
      </c>
      <c r="BF68" s="11">
        <v>1</v>
      </c>
      <c r="BG68" s="11">
        <v>0</v>
      </c>
      <c r="BH68" s="11">
        <v>0</v>
      </c>
      <c r="BI68" s="11">
        <v>0</v>
      </c>
      <c r="BJ68" s="11">
        <v>1</v>
      </c>
      <c r="BK68" s="11">
        <v>1</v>
      </c>
      <c r="BL68" s="11">
        <v>1</v>
      </c>
      <c r="BM68" s="11">
        <v>0</v>
      </c>
      <c r="BN68" s="11">
        <v>0</v>
      </c>
      <c r="BO68" s="11">
        <v>0</v>
      </c>
      <c r="BP68" s="11">
        <v>0</v>
      </c>
      <c r="BQ68" s="11">
        <v>1</v>
      </c>
      <c r="BR68" s="11">
        <v>0</v>
      </c>
      <c r="BS68" s="11">
        <v>0</v>
      </c>
      <c r="BT68" s="11">
        <v>0</v>
      </c>
      <c r="BU68" s="11">
        <v>0</v>
      </c>
      <c r="BV68" s="11">
        <v>0</v>
      </c>
      <c r="BW68" s="11">
        <v>0</v>
      </c>
      <c r="BX68" s="11">
        <v>0</v>
      </c>
      <c r="BY68" s="11">
        <v>0</v>
      </c>
      <c r="BZ68" s="11">
        <v>0</v>
      </c>
      <c r="CA68" s="11">
        <v>0</v>
      </c>
      <c r="CB68" s="11">
        <v>0</v>
      </c>
      <c r="CC68" s="11">
        <v>0</v>
      </c>
      <c r="CD68" s="11">
        <v>0</v>
      </c>
      <c r="CE68" s="11">
        <v>0</v>
      </c>
      <c r="CF68" s="11">
        <v>0</v>
      </c>
      <c r="CG68" s="11">
        <v>0</v>
      </c>
      <c r="CH68" s="11">
        <f ca="1">E68</f>
        <v>2</v>
      </c>
    </row>
    <row r="69" spans="4:86" x14ac:dyDescent="0.3">
      <c r="D69" s="11">
        <v>2</v>
      </c>
      <c r="E69" s="11">
        <f t="shared" ca="1" si="14"/>
        <v>2</v>
      </c>
      <c r="F69" s="10">
        <f t="array" aca="1" ref="F69" ca="1">IF(SUM(OFFSET(Factors,VALUE(RIGHT(F$34,2)),1,1,68))=0,"None",SQRT(SUM((OFFSET(Factors,VALUE(RIGHT(F$34,2)),1,1,68)-$R69:$CG69)^2)))</f>
        <v>3.2879726107266909</v>
      </c>
      <c r="G69" s="10">
        <f t="array" aca="1" ref="G69" ca="1">IF(SUM(OFFSET(Factors,VALUE(RIGHT(G$34,2)),1,1,68))=0,"None",SQRT(SUM((OFFSET(Factors,VALUE(RIGHT(G$34,2)),1,1,68)-$R69:$CG69)^2)))</f>
        <v>2.9802108658170026</v>
      </c>
      <c r="H69" s="10">
        <f t="array" aca="1" ref="H69" ca="1">IF(SUM(OFFSET(Factors,VALUE(RIGHT(H$34,2)),1,1,68))=0,"None",SQRT(SUM((OFFSET(Factors,VALUE(RIGHT(H$34,2)),1,1,68)-$R69:$CG69)^2)))</f>
        <v>3.4455728577899931</v>
      </c>
      <c r="I69" s="10">
        <f t="array" aca="1" ref="I69" ca="1">IF(SUM(OFFSET(Factors,VALUE(RIGHT(I$34,2)),1,1,68))=0,"None",SQRT(SUM((OFFSET(Factors,VALUE(RIGHT(I$34,2)),1,1,68)-$R69:$CG69)^2)))</f>
        <v>3.0711265330197945</v>
      </c>
      <c r="J69" s="10">
        <f t="array" aca="1" ref="J69" ca="1">IF(SUM(OFFSET(Factors,VALUE(RIGHT(J$34,2)),1,1,68))=0,"None",SQRT(SUM((OFFSET(Factors,VALUE(RIGHT(J$34,2)),1,1,68)-$R69:$CG69)^2)))</f>
        <v>3.2476914878109961</v>
      </c>
      <c r="K69" s="10" t="str">
        <f t="array" aca="1" ref="K69" ca="1">IF(SUM(OFFSET(Factors,VALUE(RIGHT(K$34,2)),1,1,68))=0,"None",SQRT(SUM((OFFSET(Factors,VALUE(RIGHT(K$34,2)),1,1,68)-$R69:$CG69)^2)))</f>
        <v>None</v>
      </c>
      <c r="L69" s="10" t="str">
        <f t="array" aca="1" ref="L69" ca="1">IF(SUM(OFFSET(Factors,VALUE(RIGHT(L$34,2)),1,1,68))=0,"None",SQRT(SUM((OFFSET(Factors,VALUE(RIGHT(L$34,2)),1,1,68)-$R69:$CG69)^2)))</f>
        <v>None</v>
      </c>
      <c r="M69" s="10" t="str">
        <f t="array" aca="1" ref="M69" ca="1">IF(SUM(OFFSET(Factors,VALUE(RIGHT(M$34,2)),1,1,68))=0,"None",SQRT(SUM((OFFSET(Factors,VALUE(RIGHT(M$34,2)),1,1,68)-$R69:$CG69)^2)))</f>
        <v>None</v>
      </c>
      <c r="N69" s="10" t="str">
        <f t="array" aca="1" ref="N69" ca="1">IF(SUM(OFFSET(Factors,VALUE(RIGHT(N$34,2)),1,1,68))=0,"None",SQRT(SUM((OFFSET(Factors,VALUE(RIGHT(N$34,2)),1,1,68)-$R69:$CG69)^2)))</f>
        <v>None</v>
      </c>
      <c r="O69" s="10" t="str">
        <f t="array" aca="1" ref="O69" ca="1">IF(SUM(OFFSET(Factors,VALUE(RIGHT(O$34,2)),1,1,68))=0,"None",SQRT(SUM((OFFSET(Factors,VALUE(RIGHT(O$34,2)),1,1,68)-$R69:$CG69)^2)))</f>
        <v>None</v>
      </c>
      <c r="Q69" s="10" t="s">
        <v>71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1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1</v>
      </c>
      <c r="AG69" s="11">
        <v>0</v>
      </c>
      <c r="AH69" s="11">
        <v>1</v>
      </c>
      <c r="AI69" s="11">
        <v>0</v>
      </c>
      <c r="AJ69" s="11">
        <v>1</v>
      </c>
      <c r="AK69" s="11">
        <v>0</v>
      </c>
      <c r="AL69" s="11">
        <v>0</v>
      </c>
      <c r="AM69" s="11">
        <v>0</v>
      </c>
      <c r="AN69" s="11">
        <v>0</v>
      </c>
      <c r="AO69" s="11">
        <v>1</v>
      </c>
      <c r="AP69" s="11">
        <v>0</v>
      </c>
      <c r="AQ69" s="11">
        <v>0</v>
      </c>
      <c r="AR69" s="11">
        <v>0</v>
      </c>
      <c r="AS69" s="11">
        <v>1</v>
      </c>
      <c r="AT69" s="11">
        <v>0</v>
      </c>
      <c r="AU69" s="11">
        <v>0</v>
      </c>
      <c r="AV69" s="11">
        <v>1</v>
      </c>
      <c r="AW69" s="11">
        <v>1</v>
      </c>
      <c r="AX69" s="11">
        <v>0</v>
      </c>
      <c r="AY69" s="11">
        <v>0</v>
      </c>
      <c r="AZ69" s="11">
        <v>1</v>
      </c>
      <c r="BA69" s="11">
        <v>0</v>
      </c>
      <c r="BB69" s="11">
        <v>0</v>
      </c>
      <c r="BC69" s="11">
        <v>0</v>
      </c>
      <c r="BD69" s="11">
        <v>0</v>
      </c>
      <c r="BE69" s="11">
        <v>0</v>
      </c>
      <c r="BF69" s="11">
        <v>1</v>
      </c>
      <c r="BG69" s="11">
        <v>0</v>
      </c>
      <c r="BH69" s="11">
        <v>0</v>
      </c>
      <c r="BI69" s="11">
        <v>0</v>
      </c>
      <c r="BJ69" s="11">
        <v>1</v>
      </c>
      <c r="BK69" s="11">
        <v>0</v>
      </c>
      <c r="BL69" s="11">
        <v>0</v>
      </c>
      <c r="BM69" s="11">
        <v>0</v>
      </c>
      <c r="BN69" s="11">
        <v>0</v>
      </c>
      <c r="BO69" s="11">
        <v>0</v>
      </c>
      <c r="BP69" s="11">
        <v>1</v>
      </c>
      <c r="BQ69" s="11">
        <v>1</v>
      </c>
      <c r="BR69" s="11">
        <v>0</v>
      </c>
      <c r="BS69" s="11">
        <v>0</v>
      </c>
      <c r="BT69" s="11">
        <v>0</v>
      </c>
      <c r="BU69" s="11">
        <v>0</v>
      </c>
      <c r="BV69" s="11">
        <v>0</v>
      </c>
      <c r="BW69" s="11">
        <v>0</v>
      </c>
      <c r="BX69" s="11">
        <v>0</v>
      </c>
      <c r="BY69" s="11">
        <v>1</v>
      </c>
      <c r="BZ69" s="11">
        <v>0</v>
      </c>
      <c r="CA69" s="11">
        <v>0</v>
      </c>
      <c r="CB69" s="11">
        <v>0</v>
      </c>
      <c r="CC69" s="11">
        <v>0</v>
      </c>
      <c r="CD69" s="11">
        <v>0</v>
      </c>
      <c r="CE69" s="11">
        <v>0</v>
      </c>
      <c r="CF69" s="11">
        <v>0</v>
      </c>
      <c r="CG69" s="11">
        <v>1</v>
      </c>
      <c r="CH69" s="11">
        <f ca="1">E69</f>
        <v>2</v>
      </c>
    </row>
    <row r="70" spans="4:86" x14ac:dyDescent="0.3">
      <c r="D70" s="11">
        <v>4</v>
      </c>
      <c r="E70" s="11">
        <f t="shared" ca="1" si="14"/>
        <v>2</v>
      </c>
      <c r="F70" s="10">
        <f t="array" aca="1" ref="F70" ca="1">IF(SUM(OFFSET(Factors,VALUE(RIGHT(F$34,2)),1,1,68))=0,"None",SQRT(SUM((OFFSET(Factors,VALUE(RIGHT(F$34,2)),1,1,68)-$R70:$CG70)^2)))</f>
        <v>3.3507358230029949</v>
      </c>
      <c r="G70" s="10">
        <f t="array" aca="1" ref="G70" ca="1">IF(SUM(OFFSET(Factors,VALUE(RIGHT(G$34,2)),1,1,68))=0,"None",SQRT(SUM((OFFSET(Factors,VALUE(RIGHT(G$34,2)),1,1,68)-$R70:$CG70)^2)))</f>
        <v>2.4878402505840351</v>
      </c>
      <c r="H70" s="10">
        <f t="array" aca="1" ref="H70" ca="1">IF(SUM(OFFSET(Factors,VALUE(RIGHT(H$34,2)),1,1,68))=0,"None",SQRT(SUM((OFFSET(Factors,VALUE(RIGHT(H$34,2)),1,1,68)-$R70:$CG70)^2)))</f>
        <v>3.3503602037407387</v>
      </c>
      <c r="I70" s="10">
        <f t="array" aca="1" ref="I70" ca="1">IF(SUM(OFFSET(Factors,VALUE(RIGHT(I$34,2)),1,1,68))=0,"None",SQRT(SUM((OFFSET(Factors,VALUE(RIGHT(I$34,2)),1,1,68)-$R70:$CG70)^2)))</f>
        <v>3.1586821187439442</v>
      </c>
      <c r="J70" s="10">
        <f t="array" aca="1" ref="J70" ca="1">IF(SUM(OFFSET(Factors,VALUE(RIGHT(J$34,2)),1,1,68))=0,"None",SQRT(SUM((OFFSET(Factors,VALUE(RIGHT(J$34,2)),1,1,68)-$R70:$CG70)^2)))</f>
        <v>3.3237779709240507</v>
      </c>
      <c r="K70" s="10" t="str">
        <f t="array" aca="1" ref="K70" ca="1">IF(SUM(OFFSET(Factors,VALUE(RIGHT(K$34,2)),1,1,68))=0,"None",SQRT(SUM((OFFSET(Factors,VALUE(RIGHT(K$34,2)),1,1,68)-$R70:$CG70)^2)))</f>
        <v>None</v>
      </c>
      <c r="L70" s="10" t="str">
        <f t="array" aca="1" ref="L70" ca="1">IF(SUM(OFFSET(Factors,VALUE(RIGHT(L$34,2)),1,1,68))=0,"None",SQRT(SUM((OFFSET(Factors,VALUE(RIGHT(L$34,2)),1,1,68)-$R70:$CG70)^2)))</f>
        <v>None</v>
      </c>
      <c r="M70" s="10" t="str">
        <f t="array" aca="1" ref="M70" ca="1">IF(SUM(OFFSET(Factors,VALUE(RIGHT(M$34,2)),1,1,68))=0,"None",SQRT(SUM((OFFSET(Factors,VALUE(RIGHT(M$34,2)),1,1,68)-$R70:$CG70)^2)))</f>
        <v>None</v>
      </c>
      <c r="N70" s="10" t="str">
        <f t="array" aca="1" ref="N70" ca="1">IF(SUM(OFFSET(Factors,VALUE(RIGHT(N$34,2)),1,1,68))=0,"None",SQRT(SUM((OFFSET(Factors,VALUE(RIGHT(N$34,2)),1,1,68)-$R70:$CG70)^2)))</f>
        <v>None</v>
      </c>
      <c r="O70" s="10" t="str">
        <f t="array" aca="1" ref="O70" ca="1">IF(SUM(OFFSET(Factors,VALUE(RIGHT(O$34,2)),1,1,68))=0,"None",SQRT(SUM((OFFSET(Factors,VALUE(RIGHT(O$34,2)),1,1,68)-$R70:$CG70)^2)))</f>
        <v>None</v>
      </c>
      <c r="Q70" s="10" t="s">
        <v>65</v>
      </c>
      <c r="R70" s="11">
        <v>0</v>
      </c>
      <c r="S70" s="11">
        <v>0</v>
      </c>
      <c r="T70" s="11">
        <v>0</v>
      </c>
      <c r="U70" s="11">
        <v>0</v>
      </c>
      <c r="V70" s="11">
        <v>1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1</v>
      </c>
      <c r="AK70" s="11">
        <v>0</v>
      </c>
      <c r="AL70" s="11">
        <v>0</v>
      </c>
      <c r="AM70" s="11">
        <v>1</v>
      </c>
      <c r="AN70" s="11">
        <v>0</v>
      </c>
      <c r="AO70" s="11">
        <v>0</v>
      </c>
      <c r="AP70" s="11">
        <v>0</v>
      </c>
      <c r="AQ70" s="11">
        <v>1</v>
      </c>
      <c r="AR70" s="11">
        <v>0</v>
      </c>
      <c r="AS70" s="11">
        <v>0</v>
      </c>
      <c r="AT70" s="11">
        <v>0</v>
      </c>
      <c r="AU70" s="11">
        <v>0</v>
      </c>
      <c r="AV70" s="11">
        <v>1</v>
      </c>
      <c r="AW70" s="11">
        <v>1</v>
      </c>
      <c r="AX70" s="11">
        <v>1</v>
      </c>
      <c r="AY70" s="11">
        <v>0</v>
      </c>
      <c r="AZ70" s="11">
        <v>0</v>
      </c>
      <c r="BA70" s="11">
        <v>0</v>
      </c>
      <c r="BB70" s="11">
        <v>0</v>
      </c>
      <c r="BC70" s="11">
        <v>0</v>
      </c>
      <c r="BD70" s="11">
        <v>0</v>
      </c>
      <c r="BE70" s="11">
        <v>0</v>
      </c>
      <c r="BF70" s="11">
        <v>0</v>
      </c>
      <c r="BG70" s="11">
        <v>0</v>
      </c>
      <c r="BH70" s="11">
        <v>1</v>
      </c>
      <c r="BI70" s="11">
        <v>0</v>
      </c>
      <c r="BJ70" s="11">
        <v>0</v>
      </c>
      <c r="BK70" s="11">
        <v>0</v>
      </c>
      <c r="BL70" s="11">
        <v>0</v>
      </c>
      <c r="BM70" s="11">
        <v>0</v>
      </c>
      <c r="BN70" s="11">
        <v>0</v>
      </c>
      <c r="BO70" s="11">
        <v>0</v>
      </c>
      <c r="BP70" s="11">
        <v>1</v>
      </c>
      <c r="BQ70" s="11">
        <v>0</v>
      </c>
      <c r="BR70" s="11">
        <v>0</v>
      </c>
      <c r="BS70" s="11">
        <v>0</v>
      </c>
      <c r="BT70" s="11">
        <v>0</v>
      </c>
      <c r="BU70" s="11">
        <v>0</v>
      </c>
      <c r="BV70" s="11">
        <v>0</v>
      </c>
      <c r="BW70" s="11">
        <v>1</v>
      </c>
      <c r="BX70" s="11">
        <v>0</v>
      </c>
      <c r="BY70" s="11">
        <v>0</v>
      </c>
      <c r="BZ70" s="11">
        <v>0</v>
      </c>
      <c r="CA70" s="11">
        <v>0</v>
      </c>
      <c r="CB70" s="11">
        <v>0</v>
      </c>
      <c r="CC70" s="11">
        <v>0</v>
      </c>
      <c r="CD70" s="11">
        <v>0</v>
      </c>
      <c r="CE70" s="11">
        <v>0</v>
      </c>
      <c r="CF70" s="11">
        <v>0</v>
      </c>
      <c r="CG70" s="11">
        <v>0</v>
      </c>
      <c r="CH70" s="11">
        <f ca="1">E70</f>
        <v>2</v>
      </c>
    </row>
    <row r="71" spans="4:86" x14ac:dyDescent="0.3">
      <c r="D71" s="11">
        <v>3</v>
      </c>
      <c r="E71" s="11">
        <f t="shared" ca="1" si="14"/>
        <v>2</v>
      </c>
      <c r="F71" s="10">
        <f t="array" aca="1" ref="F71" ca="1">IF(SUM(OFFSET(Factors,VALUE(RIGHT(F$34,2)),1,1,68))=0,"None",SQRT(SUM((OFFSET(Factors,VALUE(RIGHT(F$34,2)),1,1,68)-$R71:$CG71)^2)))</f>
        <v>3.3507358230029944</v>
      </c>
      <c r="G71" s="10">
        <f t="array" aca="1" ref="G71" ca="1">IF(SUM(OFFSET(Factors,VALUE(RIGHT(G$34,2)),1,1,68))=0,"None",SQRT(SUM((OFFSET(Factors,VALUE(RIGHT(G$34,2)),1,1,68)-$R71:$CG71)^2)))</f>
        <v>2.7239894168655039</v>
      </c>
      <c r="H71" s="10">
        <f t="array" aca="1" ref="H71" ca="1">IF(SUM(OFFSET(Factors,VALUE(RIGHT(H$34,2)),1,1,68))=0,"None",SQRT(SUM((OFFSET(Factors,VALUE(RIGHT(H$34,2)),1,1,68)-$R71:$CG71)^2)))</f>
        <v>3.3327565821683041</v>
      </c>
      <c r="I71" s="10">
        <f t="array" aca="1" ref="I71" ca="1">IF(SUM(OFFSET(Factors,VALUE(RIGHT(I$34,2)),1,1,68))=0,"None",SQRT(SUM((OFFSET(Factors,VALUE(RIGHT(I$34,2)),1,1,68)-$R71:$CG71)^2)))</f>
        <v>3.1730398387322243</v>
      </c>
      <c r="J71" s="10">
        <f t="array" aca="1" ref="J71" ca="1">IF(SUM(OFFSET(Factors,VALUE(RIGHT(J$34,2)),1,1,68))=0,"None",SQRT(SUM((OFFSET(Factors,VALUE(RIGHT(J$34,2)),1,1,68)-$R71:$CG71)^2)))</f>
        <v>3.3981612675092392</v>
      </c>
      <c r="K71" s="10" t="str">
        <f t="array" aca="1" ref="K71" ca="1">IF(SUM(OFFSET(Factors,VALUE(RIGHT(K$34,2)),1,1,68))=0,"None",SQRT(SUM((OFFSET(Factors,VALUE(RIGHT(K$34,2)),1,1,68)-$R71:$CG71)^2)))</f>
        <v>None</v>
      </c>
      <c r="L71" s="10" t="str">
        <f t="array" aca="1" ref="L71" ca="1">IF(SUM(OFFSET(Factors,VALUE(RIGHT(L$34,2)),1,1,68))=0,"None",SQRT(SUM((OFFSET(Factors,VALUE(RIGHT(L$34,2)),1,1,68)-$R71:$CG71)^2)))</f>
        <v>None</v>
      </c>
      <c r="M71" s="10" t="str">
        <f t="array" aca="1" ref="M71" ca="1">IF(SUM(OFFSET(Factors,VALUE(RIGHT(M$34,2)),1,1,68))=0,"None",SQRT(SUM((OFFSET(Factors,VALUE(RIGHT(M$34,2)),1,1,68)-$R71:$CG71)^2)))</f>
        <v>None</v>
      </c>
      <c r="N71" s="10" t="str">
        <f t="array" aca="1" ref="N71" ca="1">IF(SUM(OFFSET(Factors,VALUE(RIGHT(N$34,2)),1,1,68))=0,"None",SQRT(SUM((OFFSET(Factors,VALUE(RIGHT(N$34,2)),1,1,68)-$R71:$CG71)^2)))</f>
        <v>None</v>
      </c>
      <c r="O71" s="10" t="str">
        <f t="array" aca="1" ref="O71" ca="1">IF(SUM(OFFSET(Factors,VALUE(RIGHT(O$34,2)),1,1,68))=0,"None",SQRT(SUM((OFFSET(Factors,VALUE(RIGHT(O$34,2)),1,1,68)-$R71:$CG71)^2)))</f>
        <v>None</v>
      </c>
      <c r="Q71" s="10" t="s">
        <v>61</v>
      </c>
      <c r="R71" s="11">
        <v>0</v>
      </c>
      <c r="S71" s="11">
        <v>0</v>
      </c>
      <c r="T71" s="11">
        <v>1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1</v>
      </c>
      <c r="AG71" s="11">
        <v>0</v>
      </c>
      <c r="AH71" s="11">
        <v>1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11">
        <v>0</v>
      </c>
      <c r="AO71" s="11">
        <v>0</v>
      </c>
      <c r="AP71" s="11">
        <v>0</v>
      </c>
      <c r="AQ71" s="11">
        <v>0</v>
      </c>
      <c r="AR71" s="11">
        <v>0</v>
      </c>
      <c r="AS71" s="11">
        <v>0</v>
      </c>
      <c r="AT71" s="11">
        <v>0</v>
      </c>
      <c r="AU71" s="11">
        <v>0</v>
      </c>
      <c r="AV71" s="11">
        <v>0</v>
      </c>
      <c r="AW71" s="11">
        <v>1</v>
      </c>
      <c r="AX71" s="11">
        <v>1</v>
      </c>
      <c r="AY71" s="11">
        <v>0</v>
      </c>
      <c r="AZ71" s="11">
        <v>0</v>
      </c>
      <c r="BA71" s="11">
        <v>0</v>
      </c>
      <c r="BB71" s="11">
        <v>0</v>
      </c>
      <c r="BC71" s="11">
        <v>0</v>
      </c>
      <c r="BD71" s="11">
        <v>0</v>
      </c>
      <c r="BE71" s="11">
        <v>1</v>
      </c>
      <c r="BF71" s="11">
        <v>1</v>
      </c>
      <c r="BG71" s="11">
        <v>0</v>
      </c>
      <c r="BH71" s="11">
        <v>0</v>
      </c>
      <c r="BI71" s="11">
        <v>0</v>
      </c>
      <c r="BJ71" s="11">
        <v>0</v>
      </c>
      <c r="BK71" s="11">
        <v>0</v>
      </c>
      <c r="BL71" s="11">
        <v>0</v>
      </c>
      <c r="BM71" s="11">
        <v>0</v>
      </c>
      <c r="BN71" s="11">
        <v>0</v>
      </c>
      <c r="BO71" s="11">
        <v>0</v>
      </c>
      <c r="BP71" s="11">
        <v>0</v>
      </c>
      <c r="BQ71" s="11">
        <v>0</v>
      </c>
      <c r="BR71" s="11">
        <v>0</v>
      </c>
      <c r="BS71" s="11">
        <v>0</v>
      </c>
      <c r="BT71" s="11">
        <v>0</v>
      </c>
      <c r="BU71" s="11">
        <v>0</v>
      </c>
      <c r="BV71" s="11">
        <v>0</v>
      </c>
      <c r="BW71" s="11">
        <v>1</v>
      </c>
      <c r="BX71" s="11">
        <v>0</v>
      </c>
      <c r="BY71" s="11">
        <v>1</v>
      </c>
      <c r="BZ71" s="11">
        <v>0</v>
      </c>
      <c r="CA71" s="11">
        <v>0</v>
      </c>
      <c r="CB71" s="11">
        <v>0</v>
      </c>
      <c r="CC71" s="11">
        <v>0</v>
      </c>
      <c r="CD71" s="11">
        <v>0</v>
      </c>
      <c r="CE71" s="11">
        <v>1</v>
      </c>
      <c r="CF71" s="11">
        <v>0</v>
      </c>
      <c r="CG71" s="11">
        <v>0</v>
      </c>
      <c r="CH71" s="11">
        <f ca="1">E71</f>
        <v>2</v>
      </c>
    </row>
    <row r="72" spans="4:86" x14ac:dyDescent="0.3">
      <c r="D72" s="11">
        <v>2</v>
      </c>
      <c r="E72" s="11">
        <f t="shared" ca="1" si="14"/>
        <v>2</v>
      </c>
      <c r="F72" s="10">
        <f t="array" aca="1" ref="F72" ca="1">IF(SUM(OFFSET(Factors,VALUE(RIGHT(F$34,2)),1,1,68))=0,"None",SQRT(SUM((OFFSET(Factors,VALUE(RIGHT(F$34,2)),1,1,68)-$R72:$CG72)^2)))</f>
        <v>3.2625292676422424</v>
      </c>
      <c r="G72" s="10">
        <f t="array" aca="1" ref="G72" ca="1">IF(SUM(OFFSET(Factors,VALUE(RIGHT(G$34,2)),1,1,68))=0,"None",SQRT(SUM((OFFSET(Factors,VALUE(RIGHT(G$34,2)),1,1,68)-$R72:$CG72)^2)))</f>
        <v>2.738072573931952</v>
      </c>
      <c r="H72" s="10">
        <f t="array" aca="1" ref="H72" ca="1">IF(SUM(OFFSET(Factors,VALUE(RIGHT(H$34,2)),1,1,68))=0,"None",SQRT(SUM((OFFSET(Factors,VALUE(RIGHT(H$34,2)),1,1,68)-$R72:$CG72)^2)))</f>
        <v>3.0948109265802128</v>
      </c>
      <c r="I72" s="10">
        <f t="array" aca="1" ref="I72" ca="1">IF(SUM(OFFSET(Factors,VALUE(RIGHT(I$34,2)),1,1,68))=0,"None",SQRT(SUM((OFFSET(Factors,VALUE(RIGHT(I$34,2)),1,1,68)-$R72:$CG72)^2)))</f>
        <v>3.100586454791475</v>
      </c>
      <c r="J72" s="10">
        <f t="array" aca="1" ref="J72" ca="1">IF(SUM(OFFSET(Factors,VALUE(RIGHT(J$34,2)),1,1,68))=0,"None",SQRT(SUM((OFFSET(Factors,VALUE(RIGHT(J$34,2)),1,1,68)-$R72:$CG72)^2)))</f>
        <v>3.2322592717787977</v>
      </c>
      <c r="K72" s="10" t="str">
        <f t="array" aca="1" ref="K72" ca="1">IF(SUM(OFFSET(Factors,VALUE(RIGHT(K$34,2)),1,1,68))=0,"None",SQRT(SUM((OFFSET(Factors,VALUE(RIGHT(K$34,2)),1,1,68)-$R72:$CG72)^2)))</f>
        <v>None</v>
      </c>
      <c r="L72" s="10" t="str">
        <f t="array" aca="1" ref="L72" ca="1">IF(SUM(OFFSET(Factors,VALUE(RIGHT(L$34,2)),1,1,68))=0,"None",SQRT(SUM((OFFSET(Factors,VALUE(RIGHT(L$34,2)),1,1,68)-$R72:$CG72)^2)))</f>
        <v>None</v>
      </c>
      <c r="M72" s="10" t="str">
        <f t="array" aca="1" ref="M72" ca="1">IF(SUM(OFFSET(Factors,VALUE(RIGHT(M$34,2)),1,1,68))=0,"None",SQRT(SUM((OFFSET(Factors,VALUE(RIGHT(M$34,2)),1,1,68)-$R72:$CG72)^2)))</f>
        <v>None</v>
      </c>
      <c r="N72" s="10" t="str">
        <f t="array" aca="1" ref="N72" ca="1">IF(SUM(OFFSET(Factors,VALUE(RIGHT(N$34,2)),1,1,68))=0,"None",SQRT(SUM((OFFSET(Factors,VALUE(RIGHT(N$34,2)),1,1,68)-$R72:$CG72)^2)))</f>
        <v>None</v>
      </c>
      <c r="O72" s="10" t="str">
        <f t="array" aca="1" ref="O72" ca="1">IF(SUM(OFFSET(Factors,VALUE(RIGHT(O$34,2)),1,1,68))=0,"None",SQRT(SUM((OFFSET(Factors,VALUE(RIGHT(O$34,2)),1,1,68)-$R72:$CG72)^2)))</f>
        <v>None</v>
      </c>
      <c r="Q72" s="10" t="s">
        <v>60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1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1</v>
      </c>
      <c r="AL72" s="11">
        <v>1</v>
      </c>
      <c r="AM72" s="11">
        <v>1</v>
      </c>
      <c r="AN72" s="11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1">
        <v>0</v>
      </c>
      <c r="AV72" s="11">
        <v>1</v>
      </c>
      <c r="AW72" s="11">
        <v>1</v>
      </c>
      <c r="AX72" s="11">
        <v>0</v>
      </c>
      <c r="AY72" s="11">
        <v>1</v>
      </c>
      <c r="AZ72" s="11">
        <v>0</v>
      </c>
      <c r="BA72" s="11">
        <v>0</v>
      </c>
      <c r="BB72" s="11">
        <v>1</v>
      </c>
      <c r="BC72" s="11">
        <v>0</v>
      </c>
      <c r="BD72" s="11">
        <v>0</v>
      </c>
      <c r="BE72" s="11">
        <v>0</v>
      </c>
      <c r="BF72" s="11">
        <v>0</v>
      </c>
      <c r="BG72" s="11">
        <v>0</v>
      </c>
      <c r="BH72" s="11">
        <v>0</v>
      </c>
      <c r="BI72" s="11">
        <v>0</v>
      </c>
      <c r="BJ72" s="11">
        <v>1</v>
      </c>
      <c r="BK72" s="11">
        <v>1</v>
      </c>
      <c r="BL72" s="11">
        <v>0</v>
      </c>
      <c r="BM72" s="11">
        <v>0</v>
      </c>
      <c r="BN72" s="11">
        <v>0</v>
      </c>
      <c r="BO72" s="11">
        <v>0</v>
      </c>
      <c r="BP72" s="11">
        <v>0</v>
      </c>
      <c r="BQ72" s="11">
        <v>1</v>
      </c>
      <c r="BR72" s="11">
        <v>0</v>
      </c>
      <c r="BS72" s="11">
        <v>0</v>
      </c>
      <c r="BT72" s="11">
        <v>0</v>
      </c>
      <c r="BU72" s="11">
        <v>0</v>
      </c>
      <c r="BV72" s="11">
        <v>0</v>
      </c>
      <c r="BW72" s="11">
        <v>0</v>
      </c>
      <c r="BX72" s="11">
        <v>0</v>
      </c>
      <c r="BY72" s="11">
        <v>0</v>
      </c>
      <c r="BZ72" s="11">
        <v>0</v>
      </c>
      <c r="CA72" s="11">
        <v>0</v>
      </c>
      <c r="CB72" s="11">
        <v>0</v>
      </c>
      <c r="CC72" s="11">
        <v>0</v>
      </c>
      <c r="CD72" s="11">
        <v>0</v>
      </c>
      <c r="CE72" s="11">
        <v>1</v>
      </c>
      <c r="CF72" s="11">
        <v>0</v>
      </c>
      <c r="CG72" s="11">
        <v>0</v>
      </c>
      <c r="CH72" s="11">
        <f ca="1">E72</f>
        <v>2</v>
      </c>
    </row>
    <row r="73" spans="4:86" x14ac:dyDescent="0.3">
      <c r="D73" s="11">
        <v>1</v>
      </c>
      <c r="E73" s="11">
        <f t="shared" ca="1" si="14"/>
        <v>2</v>
      </c>
      <c r="F73" s="10">
        <f t="array" aca="1" ref="F73" ca="1">IF(SUM(OFFSET(Factors,VALUE(RIGHT(F$34,2)),1,1,68))=0,"None",SQRT(SUM((OFFSET(Factors,VALUE(RIGHT(F$34,2)),1,1,68)-$R73:$CG73)^2)))</f>
        <v>3.0239208359714413</v>
      </c>
      <c r="G73" s="10">
        <f t="array" aca="1" ref="G73" ca="1">IF(SUM(OFFSET(Factors,VALUE(RIGHT(G$34,2)),1,1,68))=0,"None",SQRT(SUM((OFFSET(Factors,VALUE(RIGHT(G$34,2)),1,1,68)-$R73:$CG73)^2)))</f>
        <v>2.738072573931952</v>
      </c>
      <c r="H73" s="10">
        <f t="array" aca="1" ref="H73" ca="1">IF(SUM(OFFSET(Factors,VALUE(RIGHT(H$34,2)),1,1,68))=0,"None",SQRT(SUM((OFFSET(Factors,VALUE(RIGHT(H$34,2)),1,1,68)-$R73:$CG73)^2)))</f>
        <v>2.8161668714319585</v>
      </c>
      <c r="I73" s="10">
        <f t="array" aca="1" ref="I73" ca="1">IF(SUM(OFFSET(Factors,VALUE(RIGHT(I$34,2)),1,1,68))=0,"None",SQRT(SUM((OFFSET(Factors,VALUE(RIGHT(I$34,2)),1,1,68)-$R73:$CG73)^2)))</f>
        <v>2.9348997195196231</v>
      </c>
      <c r="J73" s="10">
        <f t="array" aca="1" ref="J73" ca="1">IF(SUM(OFFSET(Factors,VALUE(RIGHT(J$34,2)),1,1,68))=0,"None",SQRT(SUM((OFFSET(Factors,VALUE(RIGHT(J$34,2)),1,1,68)-$R73:$CG73)^2)))</f>
        <v>2.7834331319433563</v>
      </c>
      <c r="K73" s="10" t="str">
        <f t="array" aca="1" ref="K73" ca="1">IF(SUM(OFFSET(Factors,VALUE(RIGHT(K$34,2)),1,1,68))=0,"None",SQRT(SUM((OFFSET(Factors,VALUE(RIGHT(K$34,2)),1,1,68)-$R73:$CG73)^2)))</f>
        <v>None</v>
      </c>
      <c r="L73" s="10" t="str">
        <f t="array" aca="1" ref="L73" ca="1">IF(SUM(OFFSET(Factors,VALUE(RIGHT(L$34,2)),1,1,68))=0,"None",SQRT(SUM((OFFSET(Factors,VALUE(RIGHT(L$34,2)),1,1,68)-$R73:$CG73)^2)))</f>
        <v>None</v>
      </c>
      <c r="M73" s="10" t="str">
        <f t="array" aca="1" ref="M73" ca="1">IF(SUM(OFFSET(Factors,VALUE(RIGHT(M$34,2)),1,1,68))=0,"None",SQRT(SUM((OFFSET(Factors,VALUE(RIGHT(M$34,2)),1,1,68)-$R73:$CG73)^2)))</f>
        <v>None</v>
      </c>
      <c r="N73" s="10" t="str">
        <f t="array" aca="1" ref="N73" ca="1">IF(SUM(OFFSET(Factors,VALUE(RIGHT(N$34,2)),1,1,68))=0,"None",SQRT(SUM((OFFSET(Factors,VALUE(RIGHT(N$34,2)),1,1,68)-$R73:$CG73)^2)))</f>
        <v>None</v>
      </c>
      <c r="O73" s="10" t="str">
        <f t="array" aca="1" ref="O73" ca="1">IF(SUM(OFFSET(Factors,VALUE(RIGHT(O$34,2)),1,1,68))=0,"None",SQRT(SUM((OFFSET(Factors,VALUE(RIGHT(O$34,2)),1,1,68)-$R73:$CG73)^2)))</f>
        <v>None</v>
      </c>
      <c r="Q73" s="10" t="s">
        <v>55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1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1</v>
      </c>
      <c r="AH73" s="11">
        <v>1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11">
        <v>0</v>
      </c>
      <c r="AO73" s="11">
        <v>1</v>
      </c>
      <c r="AP73" s="11">
        <v>0</v>
      </c>
      <c r="AQ73" s="11">
        <v>0</v>
      </c>
      <c r="AR73" s="11">
        <v>0</v>
      </c>
      <c r="AS73" s="11">
        <v>0</v>
      </c>
      <c r="AT73" s="11">
        <v>0</v>
      </c>
      <c r="AU73" s="11">
        <v>0</v>
      </c>
      <c r="AV73" s="11">
        <v>0</v>
      </c>
      <c r="AW73" s="11">
        <v>0</v>
      </c>
      <c r="AX73" s="11">
        <v>1</v>
      </c>
      <c r="AY73" s="11">
        <v>0</v>
      </c>
      <c r="AZ73" s="11">
        <v>0</v>
      </c>
      <c r="BA73" s="11">
        <v>1</v>
      </c>
      <c r="BB73" s="11">
        <v>0</v>
      </c>
      <c r="BC73" s="11">
        <v>0</v>
      </c>
      <c r="BD73" s="11">
        <v>0</v>
      </c>
      <c r="BE73" s="11">
        <v>0</v>
      </c>
      <c r="BF73" s="11">
        <v>0</v>
      </c>
      <c r="BG73" s="11">
        <v>0</v>
      </c>
      <c r="BH73" s="11">
        <v>0</v>
      </c>
      <c r="BI73" s="11">
        <v>0</v>
      </c>
      <c r="BJ73" s="11">
        <v>0</v>
      </c>
      <c r="BK73" s="11">
        <v>0</v>
      </c>
      <c r="BL73" s="11">
        <v>0</v>
      </c>
      <c r="BM73" s="11">
        <v>0</v>
      </c>
      <c r="BN73" s="11">
        <v>0</v>
      </c>
      <c r="BO73" s="11">
        <v>0</v>
      </c>
      <c r="BP73" s="11">
        <v>0</v>
      </c>
      <c r="BQ73" s="11">
        <v>0</v>
      </c>
      <c r="BR73" s="11">
        <v>0</v>
      </c>
      <c r="BS73" s="11">
        <v>0</v>
      </c>
      <c r="BT73" s="11">
        <v>0</v>
      </c>
      <c r="BU73" s="11">
        <v>0</v>
      </c>
      <c r="BV73" s="11">
        <v>0</v>
      </c>
      <c r="BW73" s="11">
        <v>0</v>
      </c>
      <c r="BX73" s="11">
        <v>0</v>
      </c>
      <c r="BY73" s="11">
        <v>1</v>
      </c>
      <c r="BZ73" s="11">
        <v>0</v>
      </c>
      <c r="CA73" s="11">
        <v>0</v>
      </c>
      <c r="CB73" s="11">
        <v>0</v>
      </c>
      <c r="CC73" s="11">
        <v>0</v>
      </c>
      <c r="CD73" s="11">
        <v>0</v>
      </c>
      <c r="CE73" s="11">
        <v>1</v>
      </c>
      <c r="CF73" s="11">
        <v>0</v>
      </c>
      <c r="CG73" s="11">
        <v>0</v>
      </c>
      <c r="CH73" s="11">
        <f ca="1">E73</f>
        <v>2</v>
      </c>
    </row>
    <row r="74" spans="4:86" x14ac:dyDescent="0.3">
      <c r="D74" s="11">
        <v>1</v>
      </c>
      <c r="E74" s="11">
        <f t="shared" ca="1" si="14"/>
        <v>2</v>
      </c>
      <c r="F74" s="10">
        <f t="array" aca="1" ref="F74" ca="1">IF(SUM(OFFSET(Factors,VALUE(RIGHT(F$34,2)),1,1,68))=0,"None",SQRT(SUM((OFFSET(Factors,VALUE(RIGHT(F$34,2)),1,1,68)-$R74:$CG74)^2)))</f>
        <v>2.9682930934947938</v>
      </c>
      <c r="G74" s="10">
        <f t="array" aca="1" ref="G74" ca="1">IF(SUM(OFFSET(Factors,VALUE(RIGHT(G$34,2)),1,1,68))=0,"None",SQRT(SUM((OFFSET(Factors,VALUE(RIGHT(G$34,2)),1,1,68)-$R74:$CG74)^2)))</f>
        <v>2.0088561318770144</v>
      </c>
      <c r="H74" s="10">
        <f t="array" aca="1" ref="H74" ca="1">IF(SUM(OFFSET(Factors,VALUE(RIGHT(H$34,2)),1,1,68))=0,"None",SQRT(SUM((OFFSET(Factors,VALUE(RIGHT(H$34,2)),1,1,68)-$R74:$CG74)^2)))</f>
        <v>2.9884437166777733</v>
      </c>
      <c r="I74" s="10">
        <f t="array" aca="1" ref="I74" ca="1">IF(SUM(OFFSET(Factors,VALUE(RIGHT(I$34,2)),1,1,68))=0,"None",SQRT(SUM((OFFSET(Factors,VALUE(RIGHT(I$34,2)),1,1,68)-$R74:$CG74)^2)))</f>
        <v>2.6925824035672519</v>
      </c>
      <c r="J74" s="10">
        <f t="array" aca="1" ref="J74" ca="1">IF(SUM(OFFSET(Factors,VALUE(RIGHT(J$34,2)),1,1,68))=0,"None",SQRT(SUM((OFFSET(Factors,VALUE(RIGHT(J$34,2)),1,1,68)-$R74:$CG74)^2)))</f>
        <v>3.089902911096075</v>
      </c>
      <c r="K74" s="10" t="str">
        <f t="array" aca="1" ref="K74" ca="1">IF(SUM(OFFSET(Factors,VALUE(RIGHT(K$34,2)),1,1,68))=0,"None",SQRT(SUM((OFFSET(Factors,VALUE(RIGHT(K$34,2)),1,1,68)-$R74:$CG74)^2)))</f>
        <v>None</v>
      </c>
      <c r="L74" s="10" t="str">
        <f t="array" aca="1" ref="L74" ca="1">IF(SUM(OFFSET(Factors,VALUE(RIGHT(L$34,2)),1,1,68))=0,"None",SQRT(SUM((OFFSET(Factors,VALUE(RIGHT(L$34,2)),1,1,68)-$R74:$CG74)^2)))</f>
        <v>None</v>
      </c>
      <c r="M74" s="10" t="str">
        <f t="array" aca="1" ref="M74" ca="1">IF(SUM(OFFSET(Factors,VALUE(RIGHT(M$34,2)),1,1,68))=0,"None",SQRT(SUM((OFFSET(Factors,VALUE(RIGHT(M$34,2)),1,1,68)-$R74:$CG74)^2)))</f>
        <v>None</v>
      </c>
      <c r="N74" s="10" t="str">
        <f t="array" aca="1" ref="N74" ca="1">IF(SUM(OFFSET(Factors,VALUE(RIGHT(N$34,2)),1,1,68))=0,"None",SQRT(SUM((OFFSET(Factors,VALUE(RIGHT(N$34,2)),1,1,68)-$R74:$CG74)^2)))</f>
        <v>None</v>
      </c>
      <c r="O74" s="10" t="str">
        <f t="array" aca="1" ref="O74" ca="1">IF(SUM(OFFSET(Factors,VALUE(RIGHT(O$34,2)),1,1,68))=0,"None",SQRT(SUM((OFFSET(Factors,VALUE(RIGHT(O$34,2)),1,1,68)-$R74:$CG74)^2)))</f>
        <v>None</v>
      </c>
      <c r="Q74" s="10" t="s">
        <v>53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1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1</v>
      </c>
      <c r="AK74" s="11">
        <v>0</v>
      </c>
      <c r="AL74" s="11">
        <v>0</v>
      </c>
      <c r="AM74" s="11">
        <v>1</v>
      </c>
      <c r="AN74" s="11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1</v>
      </c>
      <c r="AW74" s="11">
        <v>1</v>
      </c>
      <c r="AX74" s="11">
        <v>1</v>
      </c>
      <c r="AY74" s="11">
        <v>0</v>
      </c>
      <c r="AZ74" s="11">
        <v>0</v>
      </c>
      <c r="BA74" s="11">
        <v>0</v>
      </c>
      <c r="BB74" s="11">
        <v>0</v>
      </c>
      <c r="BC74" s="11">
        <v>0</v>
      </c>
      <c r="BD74" s="11">
        <v>0</v>
      </c>
      <c r="BE74" s="11">
        <v>0</v>
      </c>
      <c r="BF74" s="11">
        <v>0</v>
      </c>
      <c r="BG74" s="11">
        <v>0</v>
      </c>
      <c r="BH74" s="11">
        <v>1</v>
      </c>
      <c r="BI74" s="11">
        <v>0</v>
      </c>
      <c r="BJ74" s="11">
        <v>1</v>
      </c>
      <c r="BK74" s="11">
        <v>0</v>
      </c>
      <c r="BL74" s="11">
        <v>0</v>
      </c>
      <c r="BM74" s="11">
        <v>0</v>
      </c>
      <c r="BN74" s="11">
        <v>0</v>
      </c>
      <c r="BO74" s="11">
        <v>0</v>
      </c>
      <c r="BP74" s="11">
        <v>1</v>
      </c>
      <c r="BQ74" s="11">
        <v>0</v>
      </c>
      <c r="BR74" s="11">
        <v>0</v>
      </c>
      <c r="BS74" s="11">
        <v>0</v>
      </c>
      <c r="BT74" s="11">
        <v>0</v>
      </c>
      <c r="BU74" s="11">
        <v>0</v>
      </c>
      <c r="BV74" s="11">
        <v>0</v>
      </c>
      <c r="BW74" s="11">
        <v>0</v>
      </c>
      <c r="BX74" s="11">
        <v>0</v>
      </c>
      <c r="BY74" s="11">
        <v>0</v>
      </c>
      <c r="BZ74" s="11">
        <v>0</v>
      </c>
      <c r="CA74" s="11">
        <v>0</v>
      </c>
      <c r="CB74" s="11">
        <v>0</v>
      </c>
      <c r="CC74" s="11">
        <v>0</v>
      </c>
      <c r="CD74" s="11">
        <v>0</v>
      </c>
      <c r="CE74" s="11">
        <v>0</v>
      </c>
      <c r="CF74" s="11">
        <v>0</v>
      </c>
      <c r="CG74" s="11">
        <v>0</v>
      </c>
      <c r="CH74" s="11">
        <f ca="1">E74</f>
        <v>2</v>
      </c>
    </row>
    <row r="75" spans="4:86" x14ac:dyDescent="0.3">
      <c r="D75" s="11">
        <v>4</v>
      </c>
      <c r="E75" s="11">
        <f t="shared" ca="1" si="14"/>
        <v>2</v>
      </c>
      <c r="F75" s="10">
        <f t="array" aca="1" ref="F75" ca="1">IF(SUM(OFFSET(Factors,VALUE(RIGHT(F$34,2)),1,1,68))=0,"None",SQRT(SUM((OFFSET(Factors,VALUE(RIGHT(F$34,2)),1,1,68)-$R75:$CG75)^2)))</f>
        <v>3.2239877825795533</v>
      </c>
      <c r="G75" s="10">
        <f t="array" aca="1" ref="G75" ca="1">IF(SUM(OFFSET(Factors,VALUE(RIGHT(G$34,2)),1,1,68))=0,"None",SQRT(SUM((OFFSET(Factors,VALUE(RIGHT(G$34,2)),1,1,68)-$R75:$CG75)^2)))</f>
        <v>2.9930886858990342</v>
      </c>
      <c r="H75" s="10">
        <f t="array" aca="1" ref="H75" ca="1">IF(SUM(OFFSET(Factors,VALUE(RIGHT(H$34,2)),1,1,68))=0,"None",SQRT(SUM((OFFSET(Factors,VALUE(RIGHT(H$34,2)),1,1,68)-$R75:$CG75)^2)))</f>
        <v>3.4026246738775461</v>
      </c>
      <c r="I75" s="10">
        <f t="array" aca="1" ref="I75" ca="1">IF(SUM(OFFSET(Factors,VALUE(RIGHT(I$34,2)),1,1,68))=0,"None",SQRT(SUM((OFFSET(Factors,VALUE(RIGHT(I$34,2)),1,1,68)-$R75:$CG75)^2)))</f>
        <v>3.2298325315437313</v>
      </c>
      <c r="J75" s="10">
        <f t="array" aca="1" ref="J75" ca="1">IF(SUM(OFFSET(Factors,VALUE(RIGHT(J$34,2)),1,1,68))=0,"None",SQRT(SUM((OFFSET(Factors,VALUE(RIGHT(J$34,2)),1,1,68)-$R75:$CG75)^2)))</f>
        <v>3.5422450508117023</v>
      </c>
      <c r="K75" s="10" t="str">
        <f t="array" aca="1" ref="K75" ca="1">IF(SUM(OFFSET(Factors,VALUE(RIGHT(K$34,2)),1,1,68))=0,"None",SQRT(SUM((OFFSET(Factors,VALUE(RIGHT(K$34,2)),1,1,68)-$R75:$CG75)^2)))</f>
        <v>None</v>
      </c>
      <c r="L75" s="10" t="str">
        <f t="array" aca="1" ref="L75" ca="1">IF(SUM(OFFSET(Factors,VALUE(RIGHT(L$34,2)),1,1,68))=0,"None",SQRT(SUM((OFFSET(Factors,VALUE(RIGHT(L$34,2)),1,1,68)-$R75:$CG75)^2)))</f>
        <v>None</v>
      </c>
      <c r="M75" s="10" t="str">
        <f t="array" aca="1" ref="M75" ca="1">IF(SUM(OFFSET(Factors,VALUE(RIGHT(M$34,2)),1,1,68))=0,"None",SQRT(SUM((OFFSET(Factors,VALUE(RIGHT(M$34,2)),1,1,68)-$R75:$CG75)^2)))</f>
        <v>None</v>
      </c>
      <c r="N75" s="10" t="str">
        <f t="array" aca="1" ref="N75" ca="1">IF(SUM(OFFSET(Factors,VALUE(RIGHT(N$34,2)),1,1,68))=0,"None",SQRT(SUM((OFFSET(Factors,VALUE(RIGHT(N$34,2)),1,1,68)-$R75:$CG75)^2)))</f>
        <v>None</v>
      </c>
      <c r="O75" s="10" t="str">
        <f t="array" aca="1" ref="O75" ca="1">IF(SUM(OFFSET(Factors,VALUE(RIGHT(O$34,2)),1,1,68))=0,"None",SQRT(SUM((OFFSET(Factors,VALUE(RIGHT(O$34,2)),1,1,68)-$R75:$CG75)^2)))</f>
        <v>None</v>
      </c>
      <c r="Q75" s="10" t="s">
        <v>51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1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1</v>
      </c>
      <c r="AG75" s="11">
        <v>1</v>
      </c>
      <c r="AH75" s="11">
        <v>1</v>
      </c>
      <c r="AI75" s="11">
        <v>0</v>
      </c>
      <c r="AJ75" s="11">
        <v>0</v>
      </c>
      <c r="AK75" s="11">
        <v>0</v>
      </c>
      <c r="AL75" s="11">
        <v>0</v>
      </c>
      <c r="AM75" s="11">
        <v>1</v>
      </c>
      <c r="AN75" s="11">
        <v>0</v>
      </c>
      <c r="AO75" s="11">
        <v>0</v>
      </c>
      <c r="AP75" s="11">
        <v>0</v>
      </c>
      <c r="AQ75" s="11">
        <v>0</v>
      </c>
      <c r="AR75" s="11">
        <v>0</v>
      </c>
      <c r="AS75" s="11">
        <v>1</v>
      </c>
      <c r="AT75" s="11">
        <v>0</v>
      </c>
      <c r="AU75" s="11">
        <v>0</v>
      </c>
      <c r="AV75" s="11">
        <v>0</v>
      </c>
      <c r="AW75" s="11">
        <v>1</v>
      </c>
      <c r="AX75" s="11">
        <v>0</v>
      </c>
      <c r="AY75" s="11">
        <v>1</v>
      </c>
      <c r="AZ75" s="11">
        <v>1</v>
      </c>
      <c r="BA75" s="11">
        <v>0</v>
      </c>
      <c r="BB75" s="11">
        <v>0</v>
      </c>
      <c r="BC75" s="11">
        <v>0</v>
      </c>
      <c r="BD75" s="11">
        <v>0</v>
      </c>
      <c r="BE75" s="11">
        <v>1</v>
      </c>
      <c r="BF75" s="11">
        <v>1</v>
      </c>
      <c r="BG75" s="11">
        <v>0</v>
      </c>
      <c r="BH75" s="11">
        <v>1</v>
      </c>
      <c r="BI75" s="11">
        <v>0</v>
      </c>
      <c r="BJ75" s="11">
        <v>1</v>
      </c>
      <c r="BK75" s="11">
        <v>0</v>
      </c>
      <c r="BL75" s="11">
        <v>0</v>
      </c>
      <c r="BM75" s="11">
        <v>0</v>
      </c>
      <c r="BN75" s="11">
        <v>0</v>
      </c>
      <c r="BO75" s="11">
        <v>0</v>
      </c>
      <c r="BP75" s="11">
        <v>1</v>
      </c>
      <c r="BQ75" s="11">
        <v>1</v>
      </c>
      <c r="BR75" s="11">
        <v>0</v>
      </c>
      <c r="BS75" s="11">
        <v>0</v>
      </c>
      <c r="BT75" s="11">
        <v>0</v>
      </c>
      <c r="BU75" s="11">
        <v>0</v>
      </c>
      <c r="BV75" s="11">
        <v>0</v>
      </c>
      <c r="BW75" s="11">
        <v>0</v>
      </c>
      <c r="BX75" s="11">
        <v>0</v>
      </c>
      <c r="BY75" s="11">
        <v>0</v>
      </c>
      <c r="BZ75" s="11">
        <v>1</v>
      </c>
      <c r="CA75" s="11">
        <v>0</v>
      </c>
      <c r="CB75" s="11">
        <v>0</v>
      </c>
      <c r="CC75" s="11">
        <v>0</v>
      </c>
      <c r="CD75" s="11">
        <v>0</v>
      </c>
      <c r="CE75" s="11">
        <v>0</v>
      </c>
      <c r="CF75" s="11">
        <v>0</v>
      </c>
      <c r="CG75" s="11">
        <v>0</v>
      </c>
      <c r="CH75" s="11">
        <f ca="1">E75</f>
        <v>2</v>
      </c>
    </row>
    <row r="76" spans="4:86" x14ac:dyDescent="0.3">
      <c r="D76" s="11">
        <v>3</v>
      </c>
      <c r="E76" s="11">
        <f t="shared" ca="1" si="14"/>
        <v>2</v>
      </c>
      <c r="F76" s="10">
        <f t="array" aca="1" ref="F76" ca="1">IF(SUM(OFFSET(Factors,VALUE(RIGHT(F$34,2)),1,1,68))=0,"None",SQRT(SUM((OFFSET(Factors,VALUE(RIGHT(F$34,2)),1,1,68)-$R76:$CG76)^2)))</f>
        <v>3.3507358230029949</v>
      </c>
      <c r="G76" s="10">
        <f t="array" aca="1" ref="G76" ca="1">IF(SUM(OFFSET(Factors,VALUE(RIGHT(G$34,2)),1,1,68))=0,"None",SQRT(SUM((OFFSET(Factors,VALUE(RIGHT(G$34,2)),1,1,68)-$R76:$CG76)^2)))</f>
        <v>2.7098330698166984</v>
      </c>
      <c r="H76" s="10">
        <f t="array" aca="1" ref="H76" ca="1">IF(SUM(OFFSET(Factors,VALUE(RIGHT(H$34,2)),1,1,68))=0,"None",SQRT(SUM((OFFSET(Factors,VALUE(RIGHT(H$34,2)),1,1,68)-$R76:$CG76)^2)))</f>
        <v>3.2972674017038863</v>
      </c>
      <c r="I76" s="10">
        <f t="array" aca="1" ref="I76" ca="1">IF(SUM(OFFSET(Factors,VALUE(RIGHT(I$34,2)),1,1,68))=0,"None",SQRT(SUM((OFFSET(Factors,VALUE(RIGHT(I$34,2)),1,1,68)-$R76:$CG76)^2)))</f>
        <v>2.9810004421944725</v>
      </c>
      <c r="J76" s="10">
        <f t="array" aca="1" ref="J76" ca="1">IF(SUM(OFFSET(Factors,VALUE(RIGHT(J$34,2)),1,1,68))=0,"None",SQRT(SUM((OFFSET(Factors,VALUE(RIGHT(J$34,2)),1,1,68)-$R76:$CG76)^2)))</f>
        <v>3.1220986531498336</v>
      </c>
      <c r="K76" s="10" t="str">
        <f t="array" aca="1" ref="K76" ca="1">IF(SUM(OFFSET(Factors,VALUE(RIGHT(K$34,2)),1,1,68))=0,"None",SQRT(SUM((OFFSET(Factors,VALUE(RIGHT(K$34,2)),1,1,68)-$R76:$CG76)^2)))</f>
        <v>None</v>
      </c>
      <c r="L76" s="10" t="str">
        <f t="array" aca="1" ref="L76" ca="1">IF(SUM(OFFSET(Factors,VALUE(RIGHT(L$34,2)),1,1,68))=0,"None",SQRT(SUM((OFFSET(Factors,VALUE(RIGHT(L$34,2)),1,1,68)-$R76:$CG76)^2)))</f>
        <v>None</v>
      </c>
      <c r="M76" s="10" t="str">
        <f t="array" aca="1" ref="M76" ca="1">IF(SUM(OFFSET(Factors,VALUE(RIGHT(M$34,2)),1,1,68))=0,"None",SQRT(SUM((OFFSET(Factors,VALUE(RIGHT(M$34,2)),1,1,68)-$R76:$CG76)^2)))</f>
        <v>None</v>
      </c>
      <c r="N76" s="10" t="str">
        <f t="array" aca="1" ref="N76" ca="1">IF(SUM(OFFSET(Factors,VALUE(RIGHT(N$34,2)),1,1,68))=0,"None",SQRT(SUM((OFFSET(Factors,VALUE(RIGHT(N$34,2)),1,1,68)-$R76:$CG76)^2)))</f>
        <v>None</v>
      </c>
      <c r="O76" s="10" t="str">
        <f t="array" aca="1" ref="O76" ca="1">IF(SUM(OFFSET(Factors,VALUE(RIGHT(O$34,2)),1,1,68))=0,"None",SQRT(SUM((OFFSET(Factors,VALUE(RIGHT(O$34,2)),1,1,68)-$R76:$CG76)^2)))</f>
        <v>None</v>
      </c>
      <c r="Q76" s="10" t="s">
        <v>50</v>
      </c>
      <c r="R76" s="11">
        <v>0</v>
      </c>
      <c r="S76" s="11">
        <v>0</v>
      </c>
      <c r="T76" s="11">
        <v>0</v>
      </c>
      <c r="U76" s="11">
        <v>0</v>
      </c>
      <c r="V76" s="11">
        <v>1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1</v>
      </c>
      <c r="AN76" s="11">
        <v>0</v>
      </c>
      <c r="AO76" s="11">
        <v>1</v>
      </c>
      <c r="AP76" s="11">
        <v>0</v>
      </c>
      <c r="AQ76" s="11">
        <v>0</v>
      </c>
      <c r="AR76" s="11">
        <v>0</v>
      </c>
      <c r="AS76" s="11">
        <v>1</v>
      </c>
      <c r="AT76" s="11">
        <v>0</v>
      </c>
      <c r="AU76" s="11">
        <v>0</v>
      </c>
      <c r="AV76" s="11">
        <v>1</v>
      </c>
      <c r="AW76" s="11">
        <v>1</v>
      </c>
      <c r="AX76" s="11">
        <v>1</v>
      </c>
      <c r="AY76" s="11">
        <v>0</v>
      </c>
      <c r="AZ76" s="11">
        <v>0</v>
      </c>
      <c r="BA76" s="11">
        <v>1</v>
      </c>
      <c r="BB76" s="11">
        <v>0</v>
      </c>
      <c r="BC76" s="11">
        <v>0</v>
      </c>
      <c r="BD76" s="11">
        <v>0</v>
      </c>
      <c r="BE76" s="11">
        <v>0</v>
      </c>
      <c r="BF76" s="11">
        <v>0</v>
      </c>
      <c r="BG76" s="11">
        <v>1</v>
      </c>
      <c r="BH76" s="11">
        <v>0</v>
      </c>
      <c r="BI76" s="11">
        <v>0</v>
      </c>
      <c r="BJ76" s="11">
        <v>1</v>
      </c>
      <c r="BK76" s="11">
        <v>1</v>
      </c>
      <c r="BL76" s="11">
        <v>0</v>
      </c>
      <c r="BM76" s="11">
        <v>0</v>
      </c>
      <c r="BN76" s="11">
        <v>1</v>
      </c>
      <c r="BO76" s="11">
        <v>0</v>
      </c>
      <c r="BP76" s="11">
        <v>0</v>
      </c>
      <c r="BQ76" s="11">
        <v>1</v>
      </c>
      <c r="BR76" s="11">
        <v>0</v>
      </c>
      <c r="BS76" s="11">
        <v>0</v>
      </c>
      <c r="BT76" s="11">
        <v>0</v>
      </c>
      <c r="BU76" s="11">
        <v>0</v>
      </c>
      <c r="BV76" s="11">
        <v>0</v>
      </c>
      <c r="BW76" s="11">
        <v>0</v>
      </c>
      <c r="BX76" s="11">
        <v>0</v>
      </c>
      <c r="BY76" s="11">
        <v>0</v>
      </c>
      <c r="BZ76" s="11">
        <v>0</v>
      </c>
      <c r="CA76" s="11">
        <v>0</v>
      </c>
      <c r="CB76" s="11">
        <v>0</v>
      </c>
      <c r="CC76" s="11">
        <v>0</v>
      </c>
      <c r="CD76" s="11">
        <v>0</v>
      </c>
      <c r="CE76" s="11">
        <v>1</v>
      </c>
      <c r="CF76" s="11">
        <v>0</v>
      </c>
      <c r="CG76" s="11">
        <v>0</v>
      </c>
      <c r="CH76" s="11">
        <f ca="1">E76</f>
        <v>2</v>
      </c>
    </row>
    <row r="77" spans="4:86" x14ac:dyDescent="0.3">
      <c r="D77" s="11">
        <v>4</v>
      </c>
      <c r="E77" s="11">
        <f t="shared" ca="1" si="14"/>
        <v>2</v>
      </c>
      <c r="F77" s="10">
        <f t="array" aca="1" ref="F77" ca="1">IF(SUM(OFFSET(Factors,VALUE(RIGHT(F$34,2)),1,1,68))=0,"None",SQRT(SUM((OFFSET(Factors,VALUE(RIGHT(F$34,2)),1,1,68)-$R77:$CG77)^2)))</f>
        <v>3.5908351705727495</v>
      </c>
      <c r="G77" s="10">
        <f t="array" aca="1" ref="G77" ca="1">IF(SUM(OFFSET(Factors,VALUE(RIGHT(G$34,2)),1,1,68))=0,"None",SQRT(SUM((OFFSET(Factors,VALUE(RIGHT(G$34,2)),1,1,68)-$R77:$CG77)^2)))</f>
        <v>2.9412391222007943</v>
      </c>
      <c r="H77" s="10">
        <f t="array" aca="1" ref="H77" ca="1">IF(SUM(OFFSET(Factors,VALUE(RIGHT(H$34,2)),1,1,68))=0,"None",SQRT(SUM((OFFSET(Factors,VALUE(RIGHT(H$34,2)),1,1,68)-$R77:$CG77)^2)))</f>
        <v>3.2068266283385909</v>
      </c>
      <c r="I77" s="10">
        <f t="array" aca="1" ref="I77" ca="1">IF(SUM(OFFSET(Factors,VALUE(RIGHT(I$34,2)),1,1,68))=0,"None",SQRT(SUM((OFFSET(Factors,VALUE(RIGHT(I$34,2)),1,1,68)-$R77:$CG77)^2)))</f>
        <v>3.2298325315437313</v>
      </c>
      <c r="J77" s="10">
        <f t="array" aca="1" ref="J77" ca="1">IF(SUM(OFFSET(Factors,VALUE(RIGHT(J$34,2)),1,1,68))=0,"None",SQRT(SUM((OFFSET(Factors,VALUE(RIGHT(J$34,2)),1,1,68)-$R77:$CG77)^2)))</f>
        <v>3.5563323804166567</v>
      </c>
      <c r="K77" s="10" t="str">
        <f t="array" aca="1" ref="K77" ca="1">IF(SUM(OFFSET(Factors,VALUE(RIGHT(K$34,2)),1,1,68))=0,"None",SQRT(SUM((OFFSET(Factors,VALUE(RIGHT(K$34,2)),1,1,68)-$R77:$CG77)^2)))</f>
        <v>None</v>
      </c>
      <c r="L77" s="10" t="str">
        <f t="array" aca="1" ref="L77" ca="1">IF(SUM(OFFSET(Factors,VALUE(RIGHT(L$34,2)),1,1,68))=0,"None",SQRT(SUM((OFFSET(Factors,VALUE(RIGHT(L$34,2)),1,1,68)-$R77:$CG77)^2)))</f>
        <v>None</v>
      </c>
      <c r="M77" s="10" t="str">
        <f t="array" aca="1" ref="M77" ca="1">IF(SUM(OFFSET(Factors,VALUE(RIGHT(M$34,2)),1,1,68))=0,"None",SQRT(SUM((OFFSET(Factors,VALUE(RIGHT(M$34,2)),1,1,68)-$R77:$CG77)^2)))</f>
        <v>None</v>
      </c>
      <c r="N77" s="10" t="str">
        <f t="array" aca="1" ref="N77" ca="1">IF(SUM(OFFSET(Factors,VALUE(RIGHT(N$34,2)),1,1,68))=0,"None",SQRT(SUM((OFFSET(Factors,VALUE(RIGHT(N$34,2)),1,1,68)-$R77:$CG77)^2)))</f>
        <v>None</v>
      </c>
      <c r="O77" s="10" t="str">
        <f t="array" aca="1" ref="O77" ca="1">IF(SUM(OFFSET(Factors,VALUE(RIGHT(O$34,2)),1,1,68))=0,"None",SQRT(SUM((OFFSET(Factors,VALUE(RIGHT(O$34,2)),1,1,68)-$R77:$CG77)^2)))</f>
        <v>None</v>
      </c>
      <c r="Q77" s="10" t="s">
        <v>47</v>
      </c>
      <c r="R77" s="11">
        <v>0</v>
      </c>
      <c r="S77" s="11">
        <v>0</v>
      </c>
      <c r="T77" s="11">
        <v>0</v>
      </c>
      <c r="U77" s="11">
        <v>0</v>
      </c>
      <c r="V77" s="11">
        <v>1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1</v>
      </c>
      <c r="AI77" s="11">
        <v>0</v>
      </c>
      <c r="AJ77" s="11">
        <v>1</v>
      </c>
      <c r="AK77" s="11">
        <v>0</v>
      </c>
      <c r="AL77" s="11">
        <v>0</v>
      </c>
      <c r="AM77" s="11">
        <v>1</v>
      </c>
      <c r="AN77" s="11">
        <v>1</v>
      </c>
      <c r="AO77" s="11">
        <v>0</v>
      </c>
      <c r="AP77" s="11">
        <v>1</v>
      </c>
      <c r="AQ77" s="11">
        <v>0</v>
      </c>
      <c r="AR77" s="11">
        <v>0</v>
      </c>
      <c r="AS77" s="11">
        <v>1</v>
      </c>
      <c r="AT77" s="11">
        <v>0</v>
      </c>
      <c r="AU77" s="11">
        <v>0</v>
      </c>
      <c r="AV77" s="11">
        <v>0</v>
      </c>
      <c r="AW77" s="11">
        <v>1</v>
      </c>
      <c r="AX77" s="11">
        <v>0</v>
      </c>
      <c r="AY77" s="11">
        <v>1</v>
      </c>
      <c r="AZ77" s="11">
        <v>0</v>
      </c>
      <c r="BA77" s="11">
        <v>0</v>
      </c>
      <c r="BB77" s="11">
        <v>0</v>
      </c>
      <c r="BC77" s="11">
        <v>0</v>
      </c>
      <c r="BD77" s="11">
        <v>0</v>
      </c>
      <c r="BE77" s="11">
        <v>0</v>
      </c>
      <c r="BF77" s="11">
        <v>0</v>
      </c>
      <c r="BG77" s="11">
        <v>0</v>
      </c>
      <c r="BH77" s="11">
        <v>1</v>
      </c>
      <c r="BI77" s="11">
        <v>0</v>
      </c>
      <c r="BJ77" s="11">
        <v>1</v>
      </c>
      <c r="BK77" s="11">
        <v>1</v>
      </c>
      <c r="BL77" s="11">
        <v>0</v>
      </c>
      <c r="BM77" s="11">
        <v>0</v>
      </c>
      <c r="BN77" s="11">
        <v>0</v>
      </c>
      <c r="BO77" s="11">
        <v>1</v>
      </c>
      <c r="BP77" s="11">
        <v>0</v>
      </c>
      <c r="BQ77" s="11">
        <v>0</v>
      </c>
      <c r="BR77" s="11">
        <v>0</v>
      </c>
      <c r="BS77" s="11">
        <v>0</v>
      </c>
      <c r="BT77" s="11">
        <v>0</v>
      </c>
      <c r="BU77" s="11">
        <v>0</v>
      </c>
      <c r="BV77" s="11">
        <v>0</v>
      </c>
      <c r="BW77" s="11">
        <v>0</v>
      </c>
      <c r="BX77" s="11">
        <v>0</v>
      </c>
      <c r="BY77" s="11">
        <v>0</v>
      </c>
      <c r="BZ77" s="11">
        <v>0</v>
      </c>
      <c r="CA77" s="11">
        <v>0</v>
      </c>
      <c r="CB77" s="11">
        <v>0</v>
      </c>
      <c r="CC77" s="11">
        <v>0</v>
      </c>
      <c r="CD77" s="11">
        <v>0</v>
      </c>
      <c r="CE77" s="11">
        <v>1</v>
      </c>
      <c r="CF77" s="11">
        <v>0</v>
      </c>
      <c r="CG77" s="11">
        <v>0</v>
      </c>
      <c r="CH77" s="11">
        <f ca="1">E77</f>
        <v>2</v>
      </c>
    </row>
    <row r="78" spans="4:86" x14ac:dyDescent="0.3">
      <c r="D78" s="11">
        <v>2</v>
      </c>
      <c r="E78" s="11">
        <f t="shared" ca="1" si="14"/>
        <v>2</v>
      </c>
      <c r="F78" s="10">
        <f t="array" aca="1" ref="F78" ca="1">IF(SUM(OFFSET(Factors,VALUE(RIGHT(F$34,2)),1,1,68))=0,"None",SQRT(SUM((OFFSET(Factors,VALUE(RIGHT(F$34,2)),1,1,68)-$R78:$CG78)^2)))</f>
        <v>3.2110378211551622</v>
      </c>
      <c r="G78" s="10">
        <f t="array" aca="1" ref="G78" ca="1">IF(SUM(OFFSET(Factors,VALUE(RIGHT(G$34,2)),1,1,68))=0,"None",SQRT(SUM((OFFSET(Factors,VALUE(RIGHT(G$34,2)),1,1,68)-$R78:$CG78)^2)))</f>
        <v>2.9281332785652743</v>
      </c>
      <c r="H78" s="10">
        <f t="array" aca="1" ref="H78" ca="1">IF(SUM(OFFSET(Factors,VALUE(RIGHT(H$34,2)),1,1,68))=0,"None",SQRT(SUM((OFFSET(Factors,VALUE(RIGHT(H$34,2)),1,1,68)-$R78:$CG78)^2)))</f>
        <v>3.2342244220920642</v>
      </c>
      <c r="I78" s="10">
        <f t="array" aca="1" ref="I78" ca="1">IF(SUM(OFFSET(Factors,VALUE(RIGHT(I$34,2)),1,1,68))=0,"None",SQRT(SUM((OFFSET(Factors,VALUE(RIGHT(I$34,2)),1,1,68)-$R78:$CG78)^2)))</f>
        <v>3.1005864547914745</v>
      </c>
      <c r="J78" s="10">
        <f t="array" aca="1" ref="J78" ca="1">IF(SUM(OFFSET(Factors,VALUE(RIGHT(J$34,2)),1,1,68))=0,"None",SQRT(SUM((OFFSET(Factors,VALUE(RIGHT(J$34,2)),1,1,68)-$R78:$CG78)^2)))</f>
        <v>3.1380726569026409</v>
      </c>
      <c r="K78" s="10" t="str">
        <f t="array" aca="1" ref="K78" ca="1">IF(SUM(OFFSET(Factors,VALUE(RIGHT(K$34,2)),1,1,68))=0,"None",SQRT(SUM((OFFSET(Factors,VALUE(RIGHT(K$34,2)),1,1,68)-$R78:$CG78)^2)))</f>
        <v>None</v>
      </c>
      <c r="L78" s="10" t="str">
        <f t="array" aca="1" ref="L78" ca="1">IF(SUM(OFFSET(Factors,VALUE(RIGHT(L$34,2)),1,1,68))=0,"None",SQRT(SUM((OFFSET(Factors,VALUE(RIGHT(L$34,2)),1,1,68)-$R78:$CG78)^2)))</f>
        <v>None</v>
      </c>
      <c r="M78" s="10" t="str">
        <f t="array" aca="1" ref="M78" ca="1">IF(SUM(OFFSET(Factors,VALUE(RIGHT(M$34,2)),1,1,68))=0,"None",SQRT(SUM((OFFSET(Factors,VALUE(RIGHT(M$34,2)),1,1,68)-$R78:$CG78)^2)))</f>
        <v>None</v>
      </c>
      <c r="N78" s="10" t="str">
        <f t="array" aca="1" ref="N78" ca="1">IF(SUM(OFFSET(Factors,VALUE(RIGHT(N$34,2)),1,1,68))=0,"None",SQRT(SUM((OFFSET(Factors,VALUE(RIGHT(N$34,2)),1,1,68)-$R78:$CG78)^2)))</f>
        <v>None</v>
      </c>
      <c r="O78" s="10" t="str">
        <f t="array" aca="1" ref="O78" ca="1">IF(SUM(OFFSET(Factors,VALUE(RIGHT(O$34,2)),1,1,68))=0,"None",SQRT(SUM((OFFSET(Factors,VALUE(RIGHT(O$34,2)),1,1,68)-$R78:$CG78)^2)))</f>
        <v>None</v>
      </c>
      <c r="Q78" s="10" t="s">
        <v>44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1</v>
      </c>
      <c r="AG78" s="11">
        <v>0</v>
      </c>
      <c r="AH78" s="11">
        <v>1</v>
      </c>
      <c r="AI78" s="11">
        <v>0</v>
      </c>
      <c r="AJ78" s="11">
        <v>0</v>
      </c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P78" s="11">
        <v>0</v>
      </c>
      <c r="AQ78" s="11">
        <v>0</v>
      </c>
      <c r="AR78" s="11">
        <v>1</v>
      </c>
      <c r="AS78" s="11">
        <v>0</v>
      </c>
      <c r="AT78" s="11">
        <v>0</v>
      </c>
      <c r="AU78" s="11">
        <v>0</v>
      </c>
      <c r="AV78" s="11">
        <v>0</v>
      </c>
      <c r="AW78" s="11">
        <v>0</v>
      </c>
      <c r="AX78" s="11">
        <v>1</v>
      </c>
      <c r="AY78" s="11">
        <v>0</v>
      </c>
      <c r="AZ78" s="11">
        <v>0</v>
      </c>
      <c r="BA78" s="11">
        <v>0</v>
      </c>
      <c r="BB78" s="11">
        <v>0</v>
      </c>
      <c r="BC78" s="11">
        <v>1</v>
      </c>
      <c r="BD78" s="11">
        <v>0</v>
      </c>
      <c r="BE78" s="11">
        <v>0</v>
      </c>
      <c r="BF78" s="11">
        <v>0</v>
      </c>
      <c r="BG78" s="11">
        <v>0</v>
      </c>
      <c r="BH78" s="11">
        <v>0</v>
      </c>
      <c r="BI78" s="11">
        <v>1</v>
      </c>
      <c r="BJ78" s="11">
        <v>0</v>
      </c>
      <c r="BK78" s="11">
        <v>0</v>
      </c>
      <c r="BL78" s="11">
        <v>0</v>
      </c>
      <c r="BM78" s="11">
        <v>0</v>
      </c>
      <c r="BN78" s="11">
        <v>0</v>
      </c>
      <c r="BO78" s="11">
        <v>0</v>
      </c>
      <c r="BP78" s="11">
        <v>0</v>
      </c>
      <c r="BQ78" s="11">
        <v>0</v>
      </c>
      <c r="BR78" s="11">
        <v>0</v>
      </c>
      <c r="BS78" s="11">
        <v>0</v>
      </c>
      <c r="BT78" s="11">
        <v>0</v>
      </c>
      <c r="BU78" s="11">
        <v>0</v>
      </c>
      <c r="BV78" s="11">
        <v>1</v>
      </c>
      <c r="BW78" s="11">
        <v>0</v>
      </c>
      <c r="BX78" s="11">
        <v>0</v>
      </c>
      <c r="BY78" s="11">
        <v>0</v>
      </c>
      <c r="BZ78" s="11">
        <v>0</v>
      </c>
      <c r="CA78" s="11">
        <v>0</v>
      </c>
      <c r="CB78" s="11">
        <v>0</v>
      </c>
      <c r="CC78" s="11">
        <v>0</v>
      </c>
      <c r="CD78" s="11">
        <v>0</v>
      </c>
      <c r="CE78" s="11">
        <v>1</v>
      </c>
      <c r="CF78" s="11">
        <v>0</v>
      </c>
      <c r="CG78" s="11">
        <v>0</v>
      </c>
      <c r="CH78" s="11">
        <f ca="1">E78</f>
        <v>2</v>
      </c>
    </row>
    <row r="79" spans="4:86" x14ac:dyDescent="0.3">
      <c r="D79" s="11">
        <v>5</v>
      </c>
      <c r="E79" s="11">
        <f t="shared" ca="1" si="14"/>
        <v>2</v>
      </c>
      <c r="F79" s="10">
        <f t="array" aca="1" ref="F79" ca="1">IF(SUM(OFFSET(Factors,VALUE(RIGHT(F$34,2)),1,1,68))=0,"None",SQRT(SUM((OFFSET(Factors,VALUE(RIGHT(F$34,2)),1,1,68)-$R79:$CG79)^2)))</f>
        <v>3.184979940631059</v>
      </c>
      <c r="G79" s="10">
        <f t="array" aca="1" ref="G79" ca="1">IF(SUM(OFFSET(Factors,VALUE(RIGHT(G$34,2)),1,1,68))=0,"None",SQRT(SUM((OFFSET(Factors,VALUE(RIGHT(G$34,2)),1,1,68)-$R79:$CG79)^2)))</f>
        <v>2.6379120306895767</v>
      </c>
      <c r="H79" s="10">
        <f t="array" aca="1" ref="H79" ca="1">IF(SUM(OFFSET(Factors,VALUE(RIGHT(H$34,2)),1,1,68))=0,"None",SQRT(SUM((OFFSET(Factors,VALUE(RIGHT(H$34,2)),1,1,68)-$R79:$CG79)^2)))</f>
        <v>3.5299019267476459</v>
      </c>
      <c r="I79" s="10">
        <f t="array" aca="1" ref="I79" ca="1">IF(SUM(OFFSET(Factors,VALUE(RIGHT(I$34,2)),1,1,68))=0,"None",SQRT(SUM((OFFSET(Factors,VALUE(RIGHT(I$34,2)),1,1,68)-$R79:$CG79)^2)))</f>
        <v>3.3268877074800445</v>
      </c>
      <c r="J79" s="10">
        <f t="array" aca="1" ref="J79" ca="1">IF(SUM(OFFSET(Factors,VALUE(RIGHT(J$34,2)),1,1,68))=0,"None",SQRT(SUM((OFFSET(Factors,VALUE(RIGHT(J$34,2)),1,1,68)-$R79:$CG79)^2)))</f>
        <v>3.0899029110960754</v>
      </c>
      <c r="K79" s="10" t="str">
        <f t="array" aca="1" ref="K79" ca="1">IF(SUM(OFFSET(Factors,VALUE(RIGHT(K$34,2)),1,1,68))=0,"None",SQRT(SUM((OFFSET(Factors,VALUE(RIGHT(K$34,2)),1,1,68)-$R79:$CG79)^2)))</f>
        <v>None</v>
      </c>
      <c r="L79" s="10" t="str">
        <f t="array" aca="1" ref="L79" ca="1">IF(SUM(OFFSET(Factors,VALUE(RIGHT(L$34,2)),1,1,68))=0,"None",SQRT(SUM((OFFSET(Factors,VALUE(RIGHT(L$34,2)),1,1,68)-$R79:$CG79)^2)))</f>
        <v>None</v>
      </c>
      <c r="M79" s="10" t="str">
        <f t="array" aca="1" ref="M79" ca="1">IF(SUM(OFFSET(Factors,VALUE(RIGHT(M$34,2)),1,1,68))=0,"None",SQRT(SUM((OFFSET(Factors,VALUE(RIGHT(M$34,2)),1,1,68)-$R79:$CG79)^2)))</f>
        <v>None</v>
      </c>
      <c r="N79" s="10" t="str">
        <f t="array" aca="1" ref="N79" ca="1">IF(SUM(OFFSET(Factors,VALUE(RIGHT(N$34,2)),1,1,68))=0,"None",SQRT(SUM((OFFSET(Factors,VALUE(RIGHT(N$34,2)),1,1,68)-$R79:$CG79)^2)))</f>
        <v>None</v>
      </c>
      <c r="O79" s="10" t="str">
        <f t="array" aca="1" ref="O79" ca="1">IF(SUM(OFFSET(Factors,VALUE(RIGHT(O$34,2)),1,1,68))=0,"None",SQRT(SUM((OFFSET(Factors,VALUE(RIGHT(O$34,2)),1,1,68)-$R79:$CG79)^2)))</f>
        <v>None</v>
      </c>
      <c r="Q79" s="10" t="s">
        <v>25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1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0</v>
      </c>
      <c r="AJ79" s="11">
        <v>0</v>
      </c>
      <c r="AK79" s="11">
        <v>0</v>
      </c>
      <c r="AL79" s="11">
        <v>0</v>
      </c>
      <c r="AM79" s="11">
        <v>1</v>
      </c>
      <c r="AN79" s="11">
        <v>0</v>
      </c>
      <c r="AO79" s="11">
        <v>0</v>
      </c>
      <c r="AP79" s="11">
        <v>0</v>
      </c>
      <c r="AQ79" s="11">
        <v>1</v>
      </c>
      <c r="AR79" s="11">
        <v>0</v>
      </c>
      <c r="AS79" s="11">
        <v>0</v>
      </c>
      <c r="AT79" s="11">
        <v>0</v>
      </c>
      <c r="AU79" s="11">
        <v>0</v>
      </c>
      <c r="AV79" s="11">
        <v>1</v>
      </c>
      <c r="AW79" s="11">
        <v>0</v>
      </c>
      <c r="AX79" s="11">
        <v>1</v>
      </c>
      <c r="AY79" s="11">
        <v>0</v>
      </c>
      <c r="AZ79" s="11">
        <v>0</v>
      </c>
      <c r="BA79" s="11">
        <v>0</v>
      </c>
      <c r="BB79" s="11">
        <v>0</v>
      </c>
      <c r="BC79" s="11">
        <v>0</v>
      </c>
      <c r="BD79" s="11">
        <v>0</v>
      </c>
      <c r="BE79" s="11">
        <v>0</v>
      </c>
      <c r="BF79" s="11">
        <v>1</v>
      </c>
      <c r="BG79" s="11">
        <v>1</v>
      </c>
      <c r="BH79" s="11">
        <v>1</v>
      </c>
      <c r="BI79" s="11">
        <v>0</v>
      </c>
      <c r="BJ79" s="11">
        <v>1</v>
      </c>
      <c r="BK79" s="11">
        <v>0</v>
      </c>
      <c r="BL79" s="11">
        <v>0</v>
      </c>
      <c r="BM79" s="11">
        <v>0</v>
      </c>
      <c r="BN79" s="11">
        <v>0</v>
      </c>
      <c r="BO79" s="11">
        <v>0</v>
      </c>
      <c r="BP79" s="11">
        <v>0</v>
      </c>
      <c r="BQ79" s="11">
        <v>0</v>
      </c>
      <c r="BR79" s="11">
        <v>0</v>
      </c>
      <c r="BS79" s="11">
        <v>0</v>
      </c>
      <c r="BT79" s="11">
        <v>1</v>
      </c>
      <c r="BU79" s="11">
        <v>1</v>
      </c>
      <c r="BV79" s="11">
        <v>0</v>
      </c>
      <c r="BW79" s="11">
        <v>0</v>
      </c>
      <c r="BX79" s="11">
        <v>0</v>
      </c>
      <c r="BY79" s="11">
        <v>0</v>
      </c>
      <c r="BZ79" s="11">
        <v>0</v>
      </c>
      <c r="CA79" s="11">
        <v>0</v>
      </c>
      <c r="CB79" s="11">
        <v>0</v>
      </c>
      <c r="CC79" s="11">
        <v>0</v>
      </c>
      <c r="CD79" s="11">
        <v>0</v>
      </c>
      <c r="CE79" s="11">
        <v>0</v>
      </c>
      <c r="CF79" s="11">
        <v>0</v>
      </c>
      <c r="CG79" s="11">
        <v>0</v>
      </c>
      <c r="CH79" s="11">
        <f ca="1">E79</f>
        <v>2</v>
      </c>
    </row>
    <row r="80" spans="4:86" x14ac:dyDescent="0.3">
      <c r="D80" s="11">
        <v>3</v>
      </c>
      <c r="E80" s="11">
        <f t="shared" ca="1" si="14"/>
        <v>2</v>
      </c>
      <c r="F80" s="10">
        <f t="array" aca="1" ref="F80" ca="1">IF(SUM(OFFSET(Factors,VALUE(RIGHT(F$34,2)),1,1,68))=0,"None",SQRT(SUM((OFFSET(Factors,VALUE(RIGHT(F$34,2)),1,1,68)-$R80:$CG80)^2)))</f>
        <v>3.0101102785261689</v>
      </c>
      <c r="G80" s="10">
        <f t="array" aca="1" ref="G80" ca="1">IF(SUM(OFFSET(Factors,VALUE(RIGHT(G$34,2)),1,1,68))=0,"None",SQRT(SUM((OFFSET(Factors,VALUE(RIGHT(G$34,2)),1,1,68)-$R80:$CG80)^2)))</f>
        <v>2.8346962727212741</v>
      </c>
      <c r="H80" s="10">
        <f t="array" aca="1" ref="H80" ca="1">IF(SUM(OFFSET(Factors,VALUE(RIGHT(H$34,2)),1,1,68))=0,"None",SQRT(SUM((OFFSET(Factors,VALUE(RIGHT(H$34,2)),1,1,68)-$R80:$CG80)^2)))</f>
        <v>3.3503602037407392</v>
      </c>
      <c r="I80" s="10">
        <f t="array" aca="1" ref="I80" ca="1">IF(SUM(OFFSET(Factors,VALUE(RIGHT(I$34,2)),1,1,68))=0,"None",SQRT(SUM((OFFSET(Factors,VALUE(RIGHT(I$34,2)),1,1,68)-$R80:$CG80)^2)))</f>
        <v>3.1586821187439438</v>
      </c>
      <c r="J80" s="10">
        <f t="array" aca="1" ref="J80" ca="1">IF(SUM(OFFSET(Factors,VALUE(RIGHT(J$34,2)),1,1,68))=0,"None",SQRT(SUM((OFFSET(Factors,VALUE(RIGHT(J$34,2)),1,1,68)-$R80:$CG80)^2)))</f>
        <v>3.4274626183227732</v>
      </c>
      <c r="K80" s="10" t="str">
        <f t="array" aca="1" ref="K80" ca="1">IF(SUM(OFFSET(Factors,VALUE(RIGHT(K$34,2)),1,1,68))=0,"None",SQRT(SUM((OFFSET(Factors,VALUE(RIGHT(K$34,2)),1,1,68)-$R80:$CG80)^2)))</f>
        <v>None</v>
      </c>
      <c r="L80" s="10" t="str">
        <f t="array" aca="1" ref="L80" ca="1">IF(SUM(OFFSET(Factors,VALUE(RIGHT(L$34,2)),1,1,68))=0,"None",SQRT(SUM((OFFSET(Factors,VALUE(RIGHT(L$34,2)),1,1,68)-$R80:$CG80)^2)))</f>
        <v>None</v>
      </c>
      <c r="M80" s="10" t="str">
        <f t="array" aca="1" ref="M80" ca="1">IF(SUM(OFFSET(Factors,VALUE(RIGHT(M$34,2)),1,1,68))=0,"None",SQRT(SUM((OFFSET(Factors,VALUE(RIGHT(M$34,2)),1,1,68)-$R80:$CG80)^2)))</f>
        <v>None</v>
      </c>
      <c r="N80" s="10" t="str">
        <f t="array" aca="1" ref="N80" ca="1">IF(SUM(OFFSET(Factors,VALUE(RIGHT(N$34,2)),1,1,68))=0,"None",SQRT(SUM((OFFSET(Factors,VALUE(RIGHT(N$34,2)),1,1,68)-$R80:$CG80)^2)))</f>
        <v>None</v>
      </c>
      <c r="O80" s="10" t="str">
        <f t="array" aca="1" ref="O80" ca="1">IF(SUM(OFFSET(Factors,VALUE(RIGHT(O$34,2)),1,1,68))=0,"None",SQRT(SUM((OFFSET(Factors,VALUE(RIGHT(O$34,2)),1,1,68)-$R80:$CG80)^2)))</f>
        <v>None</v>
      </c>
      <c r="Q80" s="10" t="s">
        <v>22</v>
      </c>
      <c r="R80" s="11">
        <v>0</v>
      </c>
      <c r="S80" s="11">
        <v>0</v>
      </c>
      <c r="T80" s="11">
        <v>0</v>
      </c>
      <c r="U80" s="11">
        <v>0</v>
      </c>
      <c r="V80" s="11">
        <v>1</v>
      </c>
      <c r="W80" s="11">
        <v>0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1</v>
      </c>
      <c r="AG80" s="11">
        <v>1</v>
      </c>
      <c r="AH80" s="11">
        <v>0</v>
      </c>
      <c r="AI80" s="11">
        <v>0</v>
      </c>
      <c r="AJ80" s="11">
        <v>0</v>
      </c>
      <c r="AK80" s="11">
        <v>1</v>
      </c>
      <c r="AL80" s="11">
        <v>0</v>
      </c>
      <c r="AM80" s="11">
        <v>1</v>
      </c>
      <c r="AN80" s="11">
        <v>0</v>
      </c>
      <c r="AO80" s="11">
        <v>0</v>
      </c>
      <c r="AP80" s="11">
        <v>0</v>
      </c>
      <c r="AQ80" s="11">
        <v>0</v>
      </c>
      <c r="AR80" s="11">
        <v>0</v>
      </c>
      <c r="AS80" s="11">
        <v>1</v>
      </c>
      <c r="AT80" s="11">
        <v>0</v>
      </c>
      <c r="AU80" s="11">
        <v>0</v>
      </c>
      <c r="AV80" s="11">
        <v>1</v>
      </c>
      <c r="AW80" s="11">
        <v>0</v>
      </c>
      <c r="AX80" s="11">
        <v>1</v>
      </c>
      <c r="AY80" s="11">
        <v>0</v>
      </c>
      <c r="AZ80" s="11">
        <v>0</v>
      </c>
      <c r="BA80" s="11">
        <v>0</v>
      </c>
      <c r="BB80" s="11">
        <v>0</v>
      </c>
      <c r="BC80" s="11">
        <v>0</v>
      </c>
      <c r="BD80" s="11">
        <v>0</v>
      </c>
      <c r="BE80" s="11">
        <v>0</v>
      </c>
      <c r="BF80" s="11">
        <v>1</v>
      </c>
      <c r="BG80" s="11">
        <v>0</v>
      </c>
      <c r="BH80" s="11">
        <v>0</v>
      </c>
      <c r="BI80" s="11">
        <v>0</v>
      </c>
      <c r="BJ80" s="11">
        <v>1</v>
      </c>
      <c r="BK80" s="11">
        <v>0</v>
      </c>
      <c r="BL80" s="11">
        <v>0</v>
      </c>
      <c r="BM80" s="11">
        <v>0</v>
      </c>
      <c r="BN80" s="11">
        <v>1</v>
      </c>
      <c r="BO80" s="11">
        <v>0</v>
      </c>
      <c r="BP80" s="11">
        <v>1</v>
      </c>
      <c r="BQ80" s="11">
        <v>0</v>
      </c>
      <c r="BR80" s="11">
        <v>0</v>
      </c>
      <c r="BS80" s="11">
        <v>0</v>
      </c>
      <c r="BT80" s="11">
        <v>0</v>
      </c>
      <c r="BU80" s="11">
        <v>0</v>
      </c>
      <c r="BV80" s="11">
        <v>0</v>
      </c>
      <c r="BW80" s="11">
        <v>0</v>
      </c>
      <c r="BX80" s="11">
        <v>0</v>
      </c>
      <c r="BY80" s="11">
        <v>1</v>
      </c>
      <c r="BZ80" s="11">
        <v>0</v>
      </c>
      <c r="CA80" s="11">
        <v>0</v>
      </c>
      <c r="CB80" s="11">
        <v>0</v>
      </c>
      <c r="CC80" s="11">
        <v>1</v>
      </c>
      <c r="CD80" s="11">
        <v>0</v>
      </c>
      <c r="CE80" s="11">
        <v>0</v>
      </c>
      <c r="CF80" s="11">
        <v>0</v>
      </c>
      <c r="CG80" s="11">
        <v>0</v>
      </c>
      <c r="CH80" s="11">
        <f ca="1">E80</f>
        <v>2</v>
      </c>
    </row>
    <row r="81" spans="4:86" x14ac:dyDescent="0.3">
      <c r="D81" s="11">
        <v>4</v>
      </c>
      <c r="E81" s="11">
        <f t="shared" ca="1" si="14"/>
        <v>2</v>
      </c>
      <c r="F81" s="10">
        <f t="array" aca="1" ref="F81" ca="1">IF(SUM(OFFSET(Factors,VALUE(RIGHT(F$34,2)),1,1,68))=0,"None",SQRT(SUM((OFFSET(Factors,VALUE(RIGHT(F$34,2)),1,1,68)-$R81:$CG81)^2)))</f>
        <v>3.0239208359714422</v>
      </c>
      <c r="G81" s="10">
        <f t="array" aca="1" ref="G81" ca="1">IF(SUM(OFFSET(Factors,VALUE(RIGHT(G$34,2)),1,1,68))=0,"None",SQRT(SUM((OFFSET(Factors,VALUE(RIGHT(G$34,2)),1,1,68)-$R81:$CG81)^2)))</f>
        <v>2.6379120306895767</v>
      </c>
      <c r="H81" s="10">
        <f t="array" aca="1" ref="H81" ca="1">IF(SUM(OFFSET(Factors,VALUE(RIGHT(H$34,2)),1,1,68))=0,"None",SQRT(SUM((OFFSET(Factors,VALUE(RIGHT(H$34,2)),1,1,68)-$R81:$CG81)^2)))</f>
        <v>3.2523613992421376</v>
      </c>
      <c r="I81" s="10">
        <f t="array" aca="1" ref="I81" ca="1">IF(SUM(OFFSET(Factors,VALUE(RIGHT(I$34,2)),1,1,68))=0,"None",SQRT(SUM((OFFSET(Factors,VALUE(RIGHT(I$34,2)),1,1,68)-$R81:$CG81)^2)))</f>
        <v>2.7920341232611299</v>
      </c>
      <c r="J81" s="10">
        <f t="array" aca="1" ref="J81" ca="1">IF(SUM(OFFSET(Factors,VALUE(RIGHT(J$34,2)),1,1,68))=0,"None",SQRT(SUM((OFFSET(Factors,VALUE(RIGHT(J$34,2)),1,1,68)-$R81:$CG81)^2)))</f>
        <v>2.9576172842340509</v>
      </c>
      <c r="K81" s="10" t="str">
        <f t="array" aca="1" ref="K81" ca="1">IF(SUM(OFFSET(Factors,VALUE(RIGHT(K$34,2)),1,1,68))=0,"None",SQRT(SUM((OFFSET(Factors,VALUE(RIGHT(K$34,2)),1,1,68)-$R81:$CG81)^2)))</f>
        <v>None</v>
      </c>
      <c r="L81" s="10" t="str">
        <f t="array" aca="1" ref="L81" ca="1">IF(SUM(OFFSET(Factors,VALUE(RIGHT(L$34,2)),1,1,68))=0,"None",SQRT(SUM((OFFSET(Factors,VALUE(RIGHT(L$34,2)),1,1,68)-$R81:$CG81)^2)))</f>
        <v>None</v>
      </c>
      <c r="M81" s="10" t="str">
        <f t="array" aca="1" ref="M81" ca="1">IF(SUM(OFFSET(Factors,VALUE(RIGHT(M$34,2)),1,1,68))=0,"None",SQRT(SUM((OFFSET(Factors,VALUE(RIGHT(M$34,2)),1,1,68)-$R81:$CG81)^2)))</f>
        <v>None</v>
      </c>
      <c r="N81" s="10" t="str">
        <f t="array" aca="1" ref="N81" ca="1">IF(SUM(OFFSET(Factors,VALUE(RIGHT(N$34,2)),1,1,68))=0,"None",SQRT(SUM((OFFSET(Factors,VALUE(RIGHT(N$34,2)),1,1,68)-$R81:$CG81)^2)))</f>
        <v>None</v>
      </c>
      <c r="O81" s="10" t="str">
        <f t="array" aca="1" ref="O81" ca="1">IF(SUM(OFFSET(Factors,VALUE(RIGHT(O$34,2)),1,1,68))=0,"None",SQRT(SUM((OFFSET(Factors,VALUE(RIGHT(O$34,2)),1,1,68)-$R81:$CG81)^2)))</f>
        <v>None</v>
      </c>
      <c r="Q81" s="10" t="s">
        <v>16</v>
      </c>
      <c r="R81" s="11">
        <v>0</v>
      </c>
      <c r="S81" s="11">
        <v>0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1">
        <v>0</v>
      </c>
      <c r="AB81" s="11">
        <v>1</v>
      </c>
      <c r="AC81" s="11">
        <v>0</v>
      </c>
      <c r="AD81" s="11">
        <v>0</v>
      </c>
      <c r="AE81" s="11">
        <v>0</v>
      </c>
      <c r="AF81" s="11">
        <v>1</v>
      </c>
      <c r="AG81" s="11">
        <v>0</v>
      </c>
      <c r="AH81" s="11">
        <v>0</v>
      </c>
      <c r="AI81" s="11">
        <v>0</v>
      </c>
      <c r="AJ81" s="11">
        <v>0</v>
      </c>
      <c r="AK81" s="11">
        <v>1</v>
      </c>
      <c r="AL81" s="11">
        <v>0</v>
      </c>
      <c r="AM81" s="11">
        <v>1</v>
      </c>
      <c r="AN81" s="11">
        <v>0</v>
      </c>
      <c r="AO81" s="11">
        <v>1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1">
        <v>0</v>
      </c>
      <c r="AV81" s="11">
        <v>1</v>
      </c>
      <c r="AW81" s="11">
        <v>1</v>
      </c>
      <c r="AX81" s="11">
        <v>0</v>
      </c>
      <c r="AY81" s="11">
        <v>0</v>
      </c>
      <c r="AZ81" s="11">
        <v>0</v>
      </c>
      <c r="BA81" s="11">
        <v>1</v>
      </c>
      <c r="BB81" s="11">
        <v>0</v>
      </c>
      <c r="BC81" s="11">
        <v>0</v>
      </c>
      <c r="BD81" s="11">
        <v>0</v>
      </c>
      <c r="BE81" s="11">
        <v>0</v>
      </c>
      <c r="BF81" s="11">
        <v>0</v>
      </c>
      <c r="BG81" s="11">
        <v>1</v>
      </c>
      <c r="BH81" s="11">
        <v>1</v>
      </c>
      <c r="BI81" s="11">
        <v>0</v>
      </c>
      <c r="BJ81" s="11">
        <v>0</v>
      </c>
      <c r="BK81" s="11">
        <v>0</v>
      </c>
      <c r="BL81" s="11">
        <v>0</v>
      </c>
      <c r="BM81" s="11">
        <v>0</v>
      </c>
      <c r="BN81" s="11">
        <v>0</v>
      </c>
      <c r="BO81" s="11">
        <v>0</v>
      </c>
      <c r="BP81" s="11">
        <v>1</v>
      </c>
      <c r="BQ81" s="11">
        <v>0</v>
      </c>
      <c r="BR81" s="11">
        <v>0</v>
      </c>
      <c r="BS81" s="11">
        <v>0</v>
      </c>
      <c r="BT81" s="11">
        <v>0</v>
      </c>
      <c r="BU81" s="11">
        <v>0</v>
      </c>
      <c r="BV81" s="11">
        <v>0</v>
      </c>
      <c r="BW81" s="11">
        <v>0</v>
      </c>
      <c r="BX81" s="11">
        <v>0</v>
      </c>
      <c r="BY81" s="11">
        <v>0</v>
      </c>
      <c r="BZ81" s="11">
        <v>0</v>
      </c>
      <c r="CA81" s="11">
        <v>0</v>
      </c>
      <c r="CB81" s="11">
        <v>0</v>
      </c>
      <c r="CC81" s="11">
        <v>0</v>
      </c>
      <c r="CD81" s="11">
        <v>0</v>
      </c>
      <c r="CE81" s="11">
        <v>0</v>
      </c>
      <c r="CF81" s="11">
        <v>0</v>
      </c>
      <c r="CG81" s="11">
        <v>0</v>
      </c>
      <c r="CH81" s="11">
        <f ca="1">E81</f>
        <v>2</v>
      </c>
    </row>
    <row r="82" spans="4:86" x14ac:dyDescent="0.3">
      <c r="D82" s="11">
        <v>2</v>
      </c>
      <c r="E82" s="11">
        <f t="shared" ca="1" si="14"/>
        <v>2</v>
      </c>
      <c r="F82" s="10">
        <f t="array" aca="1" ref="F82" ca="1">IF(SUM(OFFSET(Factors,VALUE(RIGHT(F$34,2)),1,1,68))=0,"None",SQRT(SUM((OFFSET(Factors,VALUE(RIGHT(F$34,2)),1,1,68)-$R82:$CG82)^2)))</f>
        <v>2.8391484443207418</v>
      </c>
      <c r="G82" s="10">
        <f t="array" aca="1" ref="G82" ca="1">IF(SUM(OFFSET(Factors,VALUE(RIGHT(G$34,2)),1,1,68))=0,"None",SQRT(SUM((OFFSET(Factors,VALUE(RIGHT(G$34,2)),1,1,68)-$R82:$CG82)^2)))</f>
        <v>2.3771595600557607</v>
      </c>
      <c r="H82" s="10">
        <f t="array" aca="1" ref="H82" ca="1">IF(SUM(OFFSET(Factors,VALUE(RIGHT(H$34,2)),1,1,68))=0,"None",SQRT(SUM((OFFSET(Factors,VALUE(RIGHT(H$34,2)),1,1,68)-$R82:$CG82)^2)))</f>
        <v>3.0565602486509604</v>
      </c>
      <c r="I82" s="10">
        <f t="array" aca="1" ref="I82" ca="1">IF(SUM(OFFSET(Factors,VALUE(RIGHT(I$34,2)),1,1,68))=0,"None",SQRT(SUM((OFFSET(Factors,VALUE(RIGHT(I$34,2)),1,1,68)-$R82:$CG82)^2)))</f>
        <v>2.8244066150738152</v>
      </c>
      <c r="J82" s="10">
        <f t="array" aca="1" ref="J82" ca="1">IF(SUM(OFFSET(Factors,VALUE(RIGHT(J$34,2)),1,1,68))=0,"None",SQRT(SUM((OFFSET(Factors,VALUE(RIGHT(J$34,2)),1,1,68)-$R82:$CG82)^2)))</f>
        <v>3.1855140872392949</v>
      </c>
      <c r="K82" s="10" t="str">
        <f t="array" aca="1" ref="K82" ca="1">IF(SUM(OFFSET(Factors,VALUE(RIGHT(K$34,2)),1,1,68))=0,"None",SQRT(SUM((OFFSET(Factors,VALUE(RIGHT(K$34,2)),1,1,68)-$R82:$CG82)^2)))</f>
        <v>None</v>
      </c>
      <c r="L82" s="10" t="str">
        <f t="array" aca="1" ref="L82" ca="1">IF(SUM(OFFSET(Factors,VALUE(RIGHT(L$34,2)),1,1,68))=0,"None",SQRT(SUM((OFFSET(Factors,VALUE(RIGHT(L$34,2)),1,1,68)-$R82:$CG82)^2)))</f>
        <v>None</v>
      </c>
      <c r="M82" s="10" t="str">
        <f t="array" aca="1" ref="M82" ca="1">IF(SUM(OFFSET(Factors,VALUE(RIGHT(M$34,2)),1,1,68))=0,"None",SQRT(SUM((OFFSET(Factors,VALUE(RIGHT(M$34,2)),1,1,68)-$R82:$CG82)^2)))</f>
        <v>None</v>
      </c>
      <c r="N82" s="10" t="str">
        <f t="array" aca="1" ref="N82" ca="1">IF(SUM(OFFSET(Factors,VALUE(RIGHT(N$34,2)),1,1,68))=0,"None",SQRT(SUM((OFFSET(Factors,VALUE(RIGHT(N$34,2)),1,1,68)-$R82:$CG82)^2)))</f>
        <v>None</v>
      </c>
      <c r="O82" s="10" t="str">
        <f t="array" aca="1" ref="O82" ca="1">IF(SUM(OFFSET(Factors,VALUE(RIGHT(O$34,2)),1,1,68))=0,"None",SQRT(SUM((OFFSET(Factors,VALUE(RIGHT(O$34,2)),1,1,68)-$R82:$CG82)^2)))</f>
        <v>None</v>
      </c>
      <c r="Q82" s="10" t="s">
        <v>6</v>
      </c>
      <c r="R82" s="11">
        <v>1</v>
      </c>
      <c r="S82" s="11">
        <v>0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1</v>
      </c>
      <c r="AH82" s="11">
        <v>0</v>
      </c>
      <c r="AI82" s="11">
        <v>0</v>
      </c>
      <c r="AJ82" s="11">
        <v>0</v>
      </c>
      <c r="AK82" s="11">
        <v>0</v>
      </c>
      <c r="AL82" s="11">
        <v>0</v>
      </c>
      <c r="AM82" s="11">
        <v>1</v>
      </c>
      <c r="AN82" s="11">
        <v>0</v>
      </c>
      <c r="AO82" s="11">
        <v>0</v>
      </c>
      <c r="AP82" s="11">
        <v>0</v>
      </c>
      <c r="AQ82" s="11">
        <v>0</v>
      </c>
      <c r="AR82" s="11">
        <v>0</v>
      </c>
      <c r="AS82" s="11">
        <v>0</v>
      </c>
      <c r="AT82" s="11">
        <v>0</v>
      </c>
      <c r="AU82" s="11">
        <v>0</v>
      </c>
      <c r="AV82" s="11">
        <v>1</v>
      </c>
      <c r="AW82" s="11">
        <v>1</v>
      </c>
      <c r="AX82" s="11">
        <v>0</v>
      </c>
      <c r="AY82" s="11">
        <v>0</v>
      </c>
      <c r="AZ82" s="11">
        <v>0</v>
      </c>
      <c r="BA82" s="11">
        <v>0</v>
      </c>
      <c r="BB82" s="11">
        <v>0</v>
      </c>
      <c r="BC82" s="11">
        <v>0</v>
      </c>
      <c r="BD82" s="11">
        <v>0</v>
      </c>
      <c r="BE82" s="11">
        <v>0</v>
      </c>
      <c r="BF82" s="11">
        <v>0</v>
      </c>
      <c r="BG82" s="11">
        <v>1</v>
      </c>
      <c r="BH82" s="11">
        <v>1</v>
      </c>
      <c r="BI82" s="11">
        <v>0</v>
      </c>
      <c r="BJ82" s="11">
        <v>0</v>
      </c>
      <c r="BK82" s="11">
        <v>0</v>
      </c>
      <c r="BL82" s="11">
        <v>0</v>
      </c>
      <c r="BM82" s="11">
        <v>0</v>
      </c>
      <c r="BN82" s="11">
        <v>0</v>
      </c>
      <c r="BO82" s="11">
        <v>0</v>
      </c>
      <c r="BP82" s="11">
        <v>0</v>
      </c>
      <c r="BQ82" s="11">
        <v>0</v>
      </c>
      <c r="BR82" s="11">
        <v>0</v>
      </c>
      <c r="BS82" s="11">
        <v>0</v>
      </c>
      <c r="BT82" s="11">
        <v>0</v>
      </c>
      <c r="BU82" s="11">
        <v>0</v>
      </c>
      <c r="BV82" s="11">
        <v>0</v>
      </c>
      <c r="BW82" s="11">
        <v>0</v>
      </c>
      <c r="BX82" s="11">
        <v>0</v>
      </c>
      <c r="BY82" s="11">
        <v>0</v>
      </c>
      <c r="BZ82" s="11">
        <v>0</v>
      </c>
      <c r="CA82" s="11">
        <v>0</v>
      </c>
      <c r="CB82" s="11">
        <v>0</v>
      </c>
      <c r="CC82" s="11">
        <v>1</v>
      </c>
      <c r="CD82" s="11">
        <v>0</v>
      </c>
      <c r="CE82" s="11">
        <v>0</v>
      </c>
      <c r="CF82" s="11">
        <v>0</v>
      </c>
      <c r="CG82" s="11">
        <v>0</v>
      </c>
      <c r="CH82" s="11">
        <f ca="1">E82</f>
        <v>2</v>
      </c>
    </row>
    <row r="83" spans="4:86" x14ac:dyDescent="0.3">
      <c r="D83" s="11">
        <v>2</v>
      </c>
      <c r="E83" s="11">
        <f t="shared" ca="1" si="14"/>
        <v>2</v>
      </c>
      <c r="F83" s="10">
        <f t="array" aca="1" ref="F83" ca="1">IF(SUM(OFFSET(Factors,VALUE(RIGHT(F$34,2)),1,1,68))=0,"None",SQRT(SUM((OFFSET(Factors,VALUE(RIGHT(F$34,2)),1,1,68)-$R83:$CG83)^2)))</f>
        <v>2.7038424304846034</v>
      </c>
      <c r="G83" s="10">
        <f t="array" aca="1" ref="G83" ca="1">IF(SUM(OFFSET(Factors,VALUE(RIGHT(G$34,2)),1,1,68))=0,"None",SQRT(SUM((OFFSET(Factors,VALUE(RIGHT(G$34,2)),1,1,68)-$R83:$CG83)^2)))</f>
        <v>2.2948359831040461</v>
      </c>
      <c r="H83" s="10">
        <f t="array" aca="1" ref="H83" ca="1">IF(SUM(OFFSET(Factors,VALUE(RIGHT(H$34,2)),1,1,68))=0,"None",SQRT(SUM((OFFSET(Factors,VALUE(RIGHT(H$34,2)),1,1,68)-$R83:$CG83)^2)))</f>
        <v>3.0275551135194751</v>
      </c>
      <c r="I83" s="10">
        <f t="array" aca="1" ref="I83" ca="1">IF(SUM(OFFSET(Factors,VALUE(RIGHT(I$34,2)),1,1,68))=0,"None",SQRT(SUM((OFFSET(Factors,VALUE(RIGHT(I$34,2)),1,1,68)-$R83:$CG83)^2)))</f>
        <v>2.7261361267952453</v>
      </c>
      <c r="J83" s="10">
        <f t="array" aca="1" ref="J83" ca="1">IF(SUM(OFFSET(Factors,VALUE(RIGHT(J$34,2)),1,1,68))=0,"None",SQRT(SUM((OFFSET(Factors,VALUE(RIGHT(J$34,2)),1,1,68)-$R83:$CG83)^2)))</f>
        <v>2.9912372022292049</v>
      </c>
      <c r="K83" s="10" t="str">
        <f t="array" aca="1" ref="K83" ca="1">IF(SUM(OFFSET(Factors,VALUE(RIGHT(K$34,2)),1,1,68))=0,"None",SQRT(SUM((OFFSET(Factors,VALUE(RIGHT(K$34,2)),1,1,68)-$R83:$CG83)^2)))</f>
        <v>None</v>
      </c>
      <c r="L83" s="10" t="str">
        <f t="array" aca="1" ref="L83" ca="1">IF(SUM(OFFSET(Factors,VALUE(RIGHT(L$34,2)),1,1,68))=0,"None",SQRT(SUM((OFFSET(Factors,VALUE(RIGHT(L$34,2)),1,1,68)-$R83:$CG83)^2)))</f>
        <v>None</v>
      </c>
      <c r="M83" s="10" t="str">
        <f t="array" aca="1" ref="M83" ca="1">IF(SUM(OFFSET(Factors,VALUE(RIGHT(M$34,2)),1,1,68))=0,"None",SQRT(SUM((OFFSET(Factors,VALUE(RIGHT(M$34,2)),1,1,68)-$R83:$CG83)^2)))</f>
        <v>None</v>
      </c>
      <c r="N83" s="10" t="str">
        <f t="array" aca="1" ref="N83" ca="1">IF(SUM(OFFSET(Factors,VALUE(RIGHT(N$34,2)),1,1,68))=0,"None",SQRT(SUM((OFFSET(Factors,VALUE(RIGHT(N$34,2)),1,1,68)-$R83:$CG83)^2)))</f>
        <v>None</v>
      </c>
      <c r="O83" s="10" t="str">
        <f t="array" aca="1" ref="O83" ca="1">IF(SUM(OFFSET(Factors,VALUE(RIGHT(O$34,2)),1,1,68))=0,"None",SQRT(SUM((OFFSET(Factors,VALUE(RIGHT(O$34,2)),1,1,68)-$R83:$CG83)^2)))</f>
        <v>None</v>
      </c>
      <c r="Q83" s="10" t="s">
        <v>2</v>
      </c>
      <c r="R83" s="11">
        <v>0</v>
      </c>
      <c r="S83" s="11">
        <v>0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  <c r="Y83" s="11">
        <v>1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1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1">
        <v>0</v>
      </c>
      <c r="AM83" s="11">
        <v>1</v>
      </c>
      <c r="AN83" s="11">
        <v>0</v>
      </c>
      <c r="AO83" s="11">
        <v>0</v>
      </c>
      <c r="AP83" s="11">
        <v>0</v>
      </c>
      <c r="AQ83" s="11">
        <v>0</v>
      </c>
      <c r="AR83" s="11">
        <v>1</v>
      </c>
      <c r="AS83" s="11">
        <v>0</v>
      </c>
      <c r="AT83" s="11">
        <v>0</v>
      </c>
      <c r="AU83" s="11">
        <v>0</v>
      </c>
      <c r="AV83" s="11">
        <v>1</v>
      </c>
      <c r="AW83" s="11">
        <v>1</v>
      </c>
      <c r="AX83" s="11">
        <v>0</v>
      </c>
      <c r="AY83" s="11">
        <v>0</v>
      </c>
      <c r="AZ83" s="11">
        <v>0</v>
      </c>
      <c r="BA83" s="11">
        <v>0</v>
      </c>
      <c r="BB83" s="11">
        <v>0</v>
      </c>
      <c r="BC83" s="11">
        <v>0</v>
      </c>
      <c r="BD83" s="11">
        <v>0</v>
      </c>
      <c r="BE83" s="11">
        <v>0</v>
      </c>
      <c r="BF83" s="11">
        <v>0</v>
      </c>
      <c r="BG83" s="11">
        <v>0</v>
      </c>
      <c r="BH83" s="11">
        <v>1</v>
      </c>
      <c r="BI83" s="11">
        <v>0</v>
      </c>
      <c r="BJ83" s="11">
        <v>1</v>
      </c>
      <c r="BK83" s="11">
        <v>0</v>
      </c>
      <c r="BL83" s="11">
        <v>0</v>
      </c>
      <c r="BM83" s="11">
        <v>0</v>
      </c>
      <c r="BN83" s="11">
        <v>0</v>
      </c>
      <c r="BO83" s="11">
        <v>0</v>
      </c>
      <c r="BP83" s="11">
        <v>0</v>
      </c>
      <c r="BQ83" s="11">
        <v>0</v>
      </c>
      <c r="BR83" s="11">
        <v>0</v>
      </c>
      <c r="BS83" s="11">
        <v>0</v>
      </c>
      <c r="BT83" s="11">
        <v>0</v>
      </c>
      <c r="BU83" s="11">
        <v>0</v>
      </c>
      <c r="BV83" s="11">
        <v>0</v>
      </c>
      <c r="BW83" s="11">
        <v>0</v>
      </c>
      <c r="BX83" s="11">
        <v>0</v>
      </c>
      <c r="BY83" s="11">
        <v>0</v>
      </c>
      <c r="BZ83" s="11">
        <v>0</v>
      </c>
      <c r="CA83" s="11">
        <v>0</v>
      </c>
      <c r="CB83" s="11">
        <v>0</v>
      </c>
      <c r="CC83" s="11">
        <v>0</v>
      </c>
      <c r="CD83" s="11">
        <v>0</v>
      </c>
      <c r="CE83" s="11">
        <v>1</v>
      </c>
      <c r="CF83" s="11">
        <v>0</v>
      </c>
      <c r="CG83" s="11">
        <v>0</v>
      </c>
      <c r="CH83" s="11">
        <f ca="1">E83</f>
        <v>2</v>
      </c>
    </row>
    <row r="84" spans="4:86" x14ac:dyDescent="0.3">
      <c r="D84" s="11">
        <v>1</v>
      </c>
      <c r="E84" s="11">
        <f t="shared" ca="1" si="14"/>
        <v>2</v>
      </c>
      <c r="F84" s="10">
        <f t="array" aca="1" ref="F84" ca="1">IF(SUM(OFFSET(Factors,VALUE(RIGHT(F$34,2)),1,1,68))=0,"None",SQRT(SUM((OFFSET(Factors,VALUE(RIGHT(F$34,2)),1,1,68)-$R84:$CG84)^2)))</f>
        <v>3.363147913620347</v>
      </c>
      <c r="G84" s="10">
        <f t="array" aca="1" ref="G84" ca="1">IF(SUM(OFFSET(Factors,VALUE(RIGHT(G$34,2)),1,1,68))=0,"None",SQRT(SUM((OFFSET(Factors,VALUE(RIGHT(G$34,2)),1,1,68)-$R84:$CG84)^2)))</f>
        <v>2.7520836646151254</v>
      </c>
      <c r="H84" s="10">
        <f t="array" aca="1" ref="H84" ca="1">IF(SUM(OFFSET(Factors,VALUE(RIGHT(H$34,2)),1,1,68))=0,"None",SQRT(SUM((OFFSET(Factors,VALUE(RIGHT(H$34,2)),1,1,68)-$R84:$CG84)^2)))</f>
        <v>3.5131980521503787</v>
      </c>
      <c r="I84" s="10">
        <f t="array" aca="1" ref="I84" ca="1">IF(SUM(OFFSET(Factors,VALUE(RIGHT(I$34,2)),1,1,68))=0,"None",SQRT(SUM((OFFSET(Factors,VALUE(RIGHT(I$34,2)),1,1,68)-$R84:$CG84)^2)))</f>
        <v>3.1586821187439438</v>
      </c>
      <c r="J84" s="10">
        <f t="array" aca="1" ref="J84" ca="1">IF(SUM(OFFSET(Factors,VALUE(RIGHT(J$34,2)),1,1,68))=0,"None",SQRT(SUM((OFFSET(Factors,VALUE(RIGHT(J$34,2)),1,1,68)-$R84:$CG84)^2)))</f>
        <v>3.1220986531498327</v>
      </c>
      <c r="K84" s="10" t="str">
        <f t="array" aca="1" ref="K84" ca="1">IF(SUM(OFFSET(Factors,VALUE(RIGHT(K$34,2)),1,1,68))=0,"None",SQRT(SUM((OFFSET(Factors,VALUE(RIGHT(K$34,2)),1,1,68)-$R84:$CG84)^2)))</f>
        <v>None</v>
      </c>
      <c r="L84" s="10" t="str">
        <f t="array" aca="1" ref="L84" ca="1">IF(SUM(OFFSET(Factors,VALUE(RIGHT(L$34,2)),1,1,68))=0,"None",SQRT(SUM((OFFSET(Factors,VALUE(RIGHT(L$34,2)),1,1,68)-$R84:$CG84)^2)))</f>
        <v>None</v>
      </c>
      <c r="M84" s="10" t="str">
        <f t="array" aca="1" ref="M84" ca="1">IF(SUM(OFFSET(Factors,VALUE(RIGHT(M$34,2)),1,1,68))=0,"None",SQRT(SUM((OFFSET(Factors,VALUE(RIGHT(M$34,2)),1,1,68)-$R84:$CG84)^2)))</f>
        <v>None</v>
      </c>
      <c r="N84" s="10" t="str">
        <f t="array" aca="1" ref="N84" ca="1">IF(SUM(OFFSET(Factors,VALUE(RIGHT(N$34,2)),1,1,68))=0,"None",SQRT(SUM((OFFSET(Factors,VALUE(RIGHT(N$34,2)),1,1,68)-$R84:$CG84)^2)))</f>
        <v>None</v>
      </c>
      <c r="O84" s="10" t="str">
        <f t="array" aca="1" ref="O84" ca="1">IF(SUM(OFFSET(Factors,VALUE(RIGHT(O$34,2)),1,1,68))=0,"None",SQRT(SUM((OFFSET(Factors,VALUE(RIGHT(O$34,2)),1,1,68)-$R84:$CG84)^2)))</f>
        <v>None</v>
      </c>
      <c r="Q84" s="10" t="s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1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1</v>
      </c>
      <c r="AI84" s="11">
        <v>0</v>
      </c>
      <c r="AJ84" s="11">
        <v>0</v>
      </c>
      <c r="AK84" s="11">
        <v>0</v>
      </c>
      <c r="AL84" s="11">
        <v>0</v>
      </c>
      <c r="AM84" s="11">
        <v>0</v>
      </c>
      <c r="AN84" s="11">
        <v>0</v>
      </c>
      <c r="AO84" s="11">
        <v>0</v>
      </c>
      <c r="AP84" s="11">
        <v>0</v>
      </c>
      <c r="AQ84" s="11">
        <v>0</v>
      </c>
      <c r="AR84" s="11">
        <v>0</v>
      </c>
      <c r="AS84" s="11">
        <v>1</v>
      </c>
      <c r="AT84" s="11">
        <v>0</v>
      </c>
      <c r="AU84" s="11">
        <v>0</v>
      </c>
      <c r="AV84" s="11">
        <v>1</v>
      </c>
      <c r="AW84" s="11">
        <v>0</v>
      </c>
      <c r="AX84" s="11">
        <v>1</v>
      </c>
      <c r="AY84" s="11">
        <v>0</v>
      </c>
      <c r="AZ84" s="11">
        <v>1</v>
      </c>
      <c r="BA84" s="11">
        <v>0</v>
      </c>
      <c r="BB84" s="11">
        <v>0</v>
      </c>
      <c r="BC84" s="11">
        <v>0</v>
      </c>
      <c r="BD84" s="11">
        <v>0</v>
      </c>
      <c r="BE84" s="11">
        <v>0</v>
      </c>
      <c r="BF84" s="11">
        <v>1</v>
      </c>
      <c r="BG84" s="11">
        <v>1</v>
      </c>
      <c r="BH84" s="11">
        <v>1</v>
      </c>
      <c r="BI84" s="11">
        <v>0</v>
      </c>
      <c r="BJ84" s="11">
        <v>1</v>
      </c>
      <c r="BK84" s="11">
        <v>0</v>
      </c>
      <c r="BL84" s="11">
        <v>0</v>
      </c>
      <c r="BM84" s="11">
        <v>0</v>
      </c>
      <c r="BN84" s="11">
        <v>0</v>
      </c>
      <c r="BO84" s="11">
        <v>0</v>
      </c>
      <c r="BP84" s="11">
        <v>0</v>
      </c>
      <c r="BQ84" s="11">
        <v>0</v>
      </c>
      <c r="BR84" s="11">
        <v>1</v>
      </c>
      <c r="BS84" s="11">
        <v>0</v>
      </c>
      <c r="BT84" s="11">
        <v>0</v>
      </c>
      <c r="BU84" s="11">
        <v>0</v>
      </c>
      <c r="BV84" s="11">
        <v>0</v>
      </c>
      <c r="BW84" s="11">
        <v>0</v>
      </c>
      <c r="BX84" s="11">
        <v>0</v>
      </c>
      <c r="BY84" s="11">
        <v>1</v>
      </c>
      <c r="BZ84" s="11">
        <v>0</v>
      </c>
      <c r="CA84" s="11">
        <v>0</v>
      </c>
      <c r="CB84" s="11">
        <v>0</v>
      </c>
      <c r="CC84" s="11">
        <v>1</v>
      </c>
      <c r="CD84" s="11">
        <v>0</v>
      </c>
      <c r="CE84" s="11">
        <v>0</v>
      </c>
      <c r="CF84" s="11">
        <v>0</v>
      </c>
      <c r="CG84" s="11">
        <v>0</v>
      </c>
      <c r="CH84" s="11">
        <f ca="1">E84</f>
        <v>2</v>
      </c>
    </row>
    <row r="85" spans="4:86" x14ac:dyDescent="0.3">
      <c r="D85" s="11">
        <v>5</v>
      </c>
      <c r="E85" s="11">
        <f t="shared" ca="1" si="14"/>
        <v>3</v>
      </c>
      <c r="F85" s="10">
        <f t="array" aca="1" ref="F85" ca="1">IF(SUM(OFFSET(Factors,VALUE(RIGHT(F$34,2)),1,1,68))=0,"None",SQRT(SUM((OFFSET(Factors,VALUE(RIGHT(F$34,2)),1,1,68)-$R85:$CG85)^2)))</f>
        <v>2.6883880961564226</v>
      </c>
      <c r="G85" s="10">
        <f t="array" aca="1" ref="G85" ca="1">IF(SUM(OFFSET(Factors,VALUE(RIGHT(G$34,2)),1,1,68))=0,"None",SQRT(SUM((OFFSET(Factors,VALUE(RIGHT(G$34,2)),1,1,68)-$R85:$CG85)^2)))</f>
        <v>2.8751125524662706</v>
      </c>
      <c r="H85" s="10">
        <f t="array" aca="1" ref="H85" ca="1">IF(SUM(OFFSET(Factors,VALUE(RIGHT(H$34,2)),1,1,68))=0,"None",SQRT(SUM((OFFSET(Factors,VALUE(RIGHT(H$34,2)),1,1,68)-$R85:$CG85)^2)))</f>
        <v>2.2072544752110259</v>
      </c>
      <c r="I85" s="10">
        <f t="array" aca="1" ref="I85" ca="1">IF(SUM(OFFSET(Factors,VALUE(RIGHT(I$34,2)),1,1,68))=0,"None",SQRT(SUM((OFFSET(Factors,VALUE(RIGHT(I$34,2)),1,1,68)-$R85:$CG85)^2)))</f>
        <v>2.9503466668419587</v>
      </c>
      <c r="J85" s="10">
        <f t="array" aca="1" ref="J85" ca="1">IF(SUM(OFFSET(Factors,VALUE(RIGHT(J$34,2)),1,1,68))=0,"None",SQRT(SUM((OFFSET(Factors,VALUE(RIGHT(J$34,2)),1,1,68)-$R85:$CG85)^2)))</f>
        <v>3.0409702399069936</v>
      </c>
      <c r="K85" s="10" t="str">
        <f t="array" aca="1" ref="K85" ca="1">IF(SUM(OFFSET(Factors,VALUE(RIGHT(K$34,2)),1,1,68))=0,"None",SQRT(SUM((OFFSET(Factors,VALUE(RIGHT(K$34,2)),1,1,68)-$R85:$CG85)^2)))</f>
        <v>None</v>
      </c>
      <c r="L85" s="10" t="str">
        <f t="array" aca="1" ref="L85" ca="1">IF(SUM(OFFSET(Factors,VALUE(RIGHT(L$34,2)),1,1,68))=0,"None",SQRT(SUM((OFFSET(Factors,VALUE(RIGHT(L$34,2)),1,1,68)-$R85:$CG85)^2)))</f>
        <v>None</v>
      </c>
      <c r="M85" s="10" t="str">
        <f t="array" aca="1" ref="M85" ca="1">IF(SUM(OFFSET(Factors,VALUE(RIGHT(M$34,2)),1,1,68))=0,"None",SQRT(SUM((OFFSET(Factors,VALUE(RIGHT(M$34,2)),1,1,68)-$R85:$CG85)^2)))</f>
        <v>None</v>
      </c>
      <c r="N85" s="10" t="str">
        <f t="array" aca="1" ref="N85" ca="1">IF(SUM(OFFSET(Factors,VALUE(RIGHT(N$34,2)),1,1,68))=0,"None",SQRT(SUM((OFFSET(Factors,VALUE(RIGHT(N$34,2)),1,1,68)-$R85:$CG85)^2)))</f>
        <v>None</v>
      </c>
      <c r="O85" s="10" t="str">
        <f t="array" aca="1" ref="O85" ca="1">IF(SUM(OFFSET(Factors,VALUE(RIGHT(O$34,2)),1,1,68))=0,"None",SQRT(SUM((OFFSET(Factors,VALUE(RIGHT(O$34,2)),1,1,68)-$R85:$CG85)^2)))</f>
        <v>None</v>
      </c>
      <c r="Q85" s="10" t="s">
        <v>106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1</v>
      </c>
      <c r="AF85" s="11">
        <v>0</v>
      </c>
      <c r="AG85" s="11">
        <v>1</v>
      </c>
      <c r="AH85" s="11">
        <v>0</v>
      </c>
      <c r="AI85" s="11">
        <v>0</v>
      </c>
      <c r="AJ85" s="11">
        <v>0</v>
      </c>
      <c r="AK85" s="11">
        <v>1</v>
      </c>
      <c r="AL85" s="11">
        <v>0</v>
      </c>
      <c r="AM85" s="11">
        <v>0</v>
      </c>
      <c r="AN85" s="11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1</v>
      </c>
      <c r="AT85" s="11">
        <v>1</v>
      </c>
      <c r="AU85" s="11">
        <v>0</v>
      </c>
      <c r="AV85" s="11">
        <v>0</v>
      </c>
      <c r="AW85" s="11">
        <v>1</v>
      </c>
      <c r="AX85" s="11">
        <v>1</v>
      </c>
      <c r="AY85" s="11">
        <v>0</v>
      </c>
      <c r="AZ85" s="11">
        <v>0</v>
      </c>
      <c r="BA85" s="11">
        <v>0</v>
      </c>
      <c r="BB85" s="11">
        <v>0</v>
      </c>
      <c r="BC85" s="11">
        <v>0</v>
      </c>
      <c r="BD85" s="11">
        <v>0</v>
      </c>
      <c r="BE85" s="11">
        <v>0</v>
      </c>
      <c r="BF85" s="11">
        <v>0</v>
      </c>
      <c r="BG85" s="11">
        <v>0</v>
      </c>
      <c r="BH85" s="11">
        <v>0</v>
      </c>
      <c r="BI85" s="11">
        <v>0</v>
      </c>
      <c r="BJ85" s="11">
        <v>1</v>
      </c>
      <c r="BK85" s="11">
        <v>0</v>
      </c>
      <c r="BL85" s="11">
        <v>0</v>
      </c>
      <c r="BM85" s="11">
        <v>0</v>
      </c>
      <c r="BN85" s="11">
        <v>0</v>
      </c>
      <c r="BO85" s="11">
        <v>0</v>
      </c>
      <c r="BP85" s="11">
        <v>0</v>
      </c>
      <c r="BQ85" s="11">
        <v>0</v>
      </c>
      <c r="BR85" s="11">
        <v>0</v>
      </c>
      <c r="BS85" s="11">
        <v>0</v>
      </c>
      <c r="BT85" s="11">
        <v>0</v>
      </c>
      <c r="BU85" s="11">
        <v>0</v>
      </c>
      <c r="BV85" s="11">
        <v>0</v>
      </c>
      <c r="BW85" s="11">
        <v>0</v>
      </c>
      <c r="BX85" s="11">
        <v>0</v>
      </c>
      <c r="BY85" s="11">
        <v>0</v>
      </c>
      <c r="BZ85" s="11">
        <v>0</v>
      </c>
      <c r="CA85" s="11">
        <v>0</v>
      </c>
      <c r="CB85" s="11">
        <v>1</v>
      </c>
      <c r="CC85" s="11">
        <v>0</v>
      </c>
      <c r="CD85" s="11">
        <v>0</v>
      </c>
      <c r="CE85" s="11">
        <v>0</v>
      </c>
      <c r="CF85" s="11">
        <v>0</v>
      </c>
      <c r="CG85" s="11">
        <v>0</v>
      </c>
      <c r="CH85" s="11">
        <f ca="1">E85</f>
        <v>3</v>
      </c>
    </row>
    <row r="86" spans="4:86" x14ac:dyDescent="0.3">
      <c r="D86" s="11">
        <v>5</v>
      </c>
      <c r="E86" s="11">
        <f t="shared" ca="1" si="14"/>
        <v>3</v>
      </c>
      <c r="F86" s="10">
        <f t="array" aca="1" ref="F86" ca="1">IF(SUM(OFFSET(Factors,VALUE(RIGHT(F$34,2)),1,1,68))=0,"None",SQRT(SUM((OFFSET(Factors,VALUE(RIGHT(F$34,2)),1,1,68)-$R86:$CG86)^2)))</f>
        <v>2.7496843253160694</v>
      </c>
      <c r="G86" s="10">
        <f t="array" aca="1" ref="G86" ca="1">IF(SUM(OFFSET(Factors,VALUE(RIGHT(G$34,2)),1,1,68))=0,"None",SQRT(SUM((OFFSET(Factors,VALUE(RIGHT(G$34,2)),1,1,68)-$R86:$CG86)^2)))</f>
        <v>2.8482320894728641</v>
      </c>
      <c r="H86" s="10">
        <f t="array" aca="1" ref="H86" ca="1">IF(SUM(OFFSET(Factors,VALUE(RIGHT(H$34,2)),1,1,68))=0,"None",SQRT(SUM((OFFSET(Factors,VALUE(RIGHT(H$34,2)),1,1,68)-$R86:$CG86)^2)))</f>
        <v>2.3113979652221768</v>
      </c>
      <c r="I86" s="10">
        <f t="array" aca="1" ref="I86" ca="1">IF(SUM(OFFSET(Factors,VALUE(RIGHT(I$34,2)),1,1,68))=0,"None",SQRT(SUM((OFFSET(Factors,VALUE(RIGHT(I$34,2)),1,1,68)-$R86:$CG86)^2)))</f>
        <v>2.9503466668419582</v>
      </c>
      <c r="J86" s="10">
        <f t="array" aca="1" ref="J86" ca="1">IF(SUM(OFFSET(Factors,VALUE(RIGHT(J$34,2)),1,1,68))=0,"None",SQRT(SUM((OFFSET(Factors,VALUE(RIGHT(J$34,2)),1,1,68)-$R86:$CG86)^2)))</f>
        <v>3.2322592717787972</v>
      </c>
      <c r="K86" s="10" t="str">
        <f t="array" aca="1" ref="K86" ca="1">IF(SUM(OFFSET(Factors,VALUE(RIGHT(K$34,2)),1,1,68))=0,"None",SQRT(SUM((OFFSET(Factors,VALUE(RIGHT(K$34,2)),1,1,68)-$R86:$CG86)^2)))</f>
        <v>None</v>
      </c>
      <c r="L86" s="10" t="str">
        <f t="array" aca="1" ref="L86" ca="1">IF(SUM(OFFSET(Factors,VALUE(RIGHT(L$34,2)),1,1,68))=0,"None",SQRT(SUM((OFFSET(Factors,VALUE(RIGHT(L$34,2)),1,1,68)-$R86:$CG86)^2)))</f>
        <v>None</v>
      </c>
      <c r="M86" s="10" t="str">
        <f t="array" aca="1" ref="M86" ca="1">IF(SUM(OFFSET(Factors,VALUE(RIGHT(M$34,2)),1,1,68))=0,"None",SQRT(SUM((OFFSET(Factors,VALUE(RIGHT(M$34,2)),1,1,68)-$R86:$CG86)^2)))</f>
        <v>None</v>
      </c>
      <c r="N86" s="10" t="str">
        <f t="array" aca="1" ref="N86" ca="1">IF(SUM(OFFSET(Factors,VALUE(RIGHT(N$34,2)),1,1,68))=0,"None",SQRT(SUM((OFFSET(Factors,VALUE(RIGHT(N$34,2)),1,1,68)-$R86:$CG86)^2)))</f>
        <v>None</v>
      </c>
      <c r="O86" s="10" t="str">
        <f t="array" aca="1" ref="O86" ca="1">IF(SUM(OFFSET(Factors,VALUE(RIGHT(O$34,2)),1,1,68))=0,"None",SQRT(SUM((OFFSET(Factors,VALUE(RIGHT(O$34,2)),1,1,68)-$R86:$CG86)^2)))</f>
        <v>None</v>
      </c>
      <c r="Q86" s="10" t="s">
        <v>92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  <c r="W86" s="11">
        <v>0</v>
      </c>
      <c r="X86" s="11">
        <v>1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1</v>
      </c>
      <c r="AH86" s="11">
        <v>0</v>
      </c>
      <c r="AI86" s="11">
        <v>0</v>
      </c>
      <c r="AJ86" s="11">
        <v>0</v>
      </c>
      <c r="AK86" s="11">
        <v>1</v>
      </c>
      <c r="AL86" s="11">
        <v>0</v>
      </c>
      <c r="AM86" s="11">
        <v>1</v>
      </c>
      <c r="AN86" s="11">
        <v>1</v>
      </c>
      <c r="AO86" s="11">
        <v>0</v>
      </c>
      <c r="AP86" s="11">
        <v>0</v>
      </c>
      <c r="AQ86" s="11">
        <v>0</v>
      </c>
      <c r="AR86" s="11">
        <v>0</v>
      </c>
      <c r="AS86" s="11">
        <v>1</v>
      </c>
      <c r="AT86" s="11">
        <v>0</v>
      </c>
      <c r="AU86" s="11">
        <v>0</v>
      </c>
      <c r="AV86" s="11">
        <v>0</v>
      </c>
      <c r="AW86" s="11">
        <v>1</v>
      </c>
      <c r="AX86" s="11">
        <v>0</v>
      </c>
      <c r="AY86" s="11">
        <v>0</v>
      </c>
      <c r="AZ86" s="11">
        <v>0</v>
      </c>
      <c r="BA86" s="11">
        <v>0</v>
      </c>
      <c r="BB86" s="11">
        <v>0</v>
      </c>
      <c r="BC86" s="11">
        <v>0</v>
      </c>
      <c r="BD86" s="11">
        <v>0</v>
      </c>
      <c r="BE86" s="11">
        <v>0</v>
      </c>
      <c r="BF86" s="11">
        <v>0</v>
      </c>
      <c r="BG86" s="11">
        <v>0</v>
      </c>
      <c r="BH86" s="11">
        <v>0</v>
      </c>
      <c r="BI86" s="11">
        <v>0</v>
      </c>
      <c r="BJ86" s="11">
        <v>1</v>
      </c>
      <c r="BK86" s="11">
        <v>0</v>
      </c>
      <c r="BL86" s="11">
        <v>0</v>
      </c>
      <c r="BM86" s="11">
        <v>0</v>
      </c>
      <c r="BN86" s="11">
        <v>0</v>
      </c>
      <c r="BO86" s="11">
        <v>0</v>
      </c>
      <c r="BP86" s="11">
        <v>0</v>
      </c>
      <c r="BQ86" s="11">
        <v>0</v>
      </c>
      <c r="BR86" s="11">
        <v>0</v>
      </c>
      <c r="BS86" s="11">
        <v>0</v>
      </c>
      <c r="BT86" s="11">
        <v>0</v>
      </c>
      <c r="BU86" s="11">
        <v>0</v>
      </c>
      <c r="BV86" s="11">
        <v>0</v>
      </c>
      <c r="BW86" s="11">
        <v>0</v>
      </c>
      <c r="BX86" s="11">
        <v>0</v>
      </c>
      <c r="BY86" s="11">
        <v>0</v>
      </c>
      <c r="BZ86" s="11">
        <v>0</v>
      </c>
      <c r="CA86" s="11">
        <v>0</v>
      </c>
      <c r="CB86" s="11">
        <v>1</v>
      </c>
      <c r="CC86" s="11">
        <v>0</v>
      </c>
      <c r="CD86" s="11">
        <v>0</v>
      </c>
      <c r="CE86" s="11">
        <v>0</v>
      </c>
      <c r="CF86" s="11">
        <v>0</v>
      </c>
      <c r="CG86" s="11">
        <v>1</v>
      </c>
      <c r="CH86" s="11">
        <f ca="1">E86</f>
        <v>3</v>
      </c>
    </row>
    <row r="87" spans="4:86" x14ac:dyDescent="0.3">
      <c r="D87" s="11">
        <v>4</v>
      </c>
      <c r="E87" s="11">
        <f t="shared" ca="1" si="14"/>
        <v>3</v>
      </c>
      <c r="F87" s="10">
        <f t="array" aca="1" ref="F87" ca="1">IF(SUM(OFFSET(Factors,VALUE(RIGHT(F$34,2)),1,1,68))=0,"None",SQRT(SUM((OFFSET(Factors,VALUE(RIGHT(F$34,2)),1,1,68)-$R87:$CG87)^2)))</f>
        <v>3.1322138957754606</v>
      </c>
      <c r="G87" s="10">
        <f t="array" aca="1" ref="G87" ca="1">IF(SUM(OFFSET(Factors,VALUE(RIGHT(G$34,2)),1,1,68))=0,"None",SQRT(SUM((OFFSET(Factors,VALUE(RIGHT(G$34,2)),1,1,68)-$R87:$CG87)^2)))</f>
        <v>3.0440552211399052</v>
      </c>
      <c r="H87" s="10">
        <f t="array" aca="1" ref="H87" ca="1">IF(SUM(OFFSET(Factors,VALUE(RIGHT(H$34,2)),1,1,68))=0,"None",SQRT(SUM((OFFSET(Factors,VALUE(RIGHT(H$34,2)),1,1,68)-$R87:$CG87)^2)))</f>
        <v>2.8679109984115074</v>
      </c>
      <c r="I87" s="10">
        <f t="array" aca="1" ref="I87" ca="1">IF(SUM(OFFSET(Factors,VALUE(RIGHT(I$34,2)),1,1,68))=0,"None",SQRT(SUM((OFFSET(Factors,VALUE(RIGHT(I$34,2)),1,1,68)-$R87:$CG87)^2)))</f>
        <v>3.285643703363855</v>
      </c>
      <c r="J87" s="10">
        <f t="array" aca="1" ref="J87" ca="1">IF(SUM(OFFSET(Factors,VALUE(RIGHT(J$34,2)),1,1,68))=0,"None",SQRT(SUM((OFFSET(Factors,VALUE(RIGHT(J$34,2)),1,1,68)-$R87:$CG87)^2)))</f>
        <v>3.5563323804166567</v>
      </c>
      <c r="K87" s="10" t="str">
        <f t="array" aca="1" ref="K87" ca="1">IF(SUM(OFFSET(Factors,VALUE(RIGHT(K$34,2)),1,1,68))=0,"None",SQRT(SUM((OFFSET(Factors,VALUE(RIGHT(K$34,2)),1,1,68)-$R87:$CG87)^2)))</f>
        <v>None</v>
      </c>
      <c r="L87" s="10" t="str">
        <f t="array" aca="1" ref="L87" ca="1">IF(SUM(OFFSET(Factors,VALUE(RIGHT(L$34,2)),1,1,68))=0,"None",SQRT(SUM((OFFSET(Factors,VALUE(RIGHT(L$34,2)),1,1,68)-$R87:$CG87)^2)))</f>
        <v>None</v>
      </c>
      <c r="M87" s="10" t="str">
        <f t="array" aca="1" ref="M87" ca="1">IF(SUM(OFFSET(Factors,VALUE(RIGHT(M$34,2)),1,1,68))=0,"None",SQRT(SUM((OFFSET(Factors,VALUE(RIGHT(M$34,2)),1,1,68)-$R87:$CG87)^2)))</f>
        <v>None</v>
      </c>
      <c r="N87" s="10" t="str">
        <f t="array" aca="1" ref="N87" ca="1">IF(SUM(OFFSET(Factors,VALUE(RIGHT(N$34,2)),1,1,68))=0,"None",SQRT(SUM((OFFSET(Factors,VALUE(RIGHT(N$34,2)),1,1,68)-$R87:$CG87)^2)))</f>
        <v>None</v>
      </c>
      <c r="O87" s="10" t="str">
        <f t="array" aca="1" ref="O87" ca="1">IF(SUM(OFFSET(Factors,VALUE(RIGHT(O$34,2)),1,1,68))=0,"None",SQRT(SUM((OFFSET(Factors,VALUE(RIGHT(O$34,2)),1,1,68)-$R87:$CG87)^2)))</f>
        <v>None</v>
      </c>
      <c r="Q87" s="10" t="s">
        <v>88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1</v>
      </c>
      <c r="AH87" s="11">
        <v>0</v>
      </c>
      <c r="AI87" s="11">
        <v>0</v>
      </c>
      <c r="AJ87" s="11">
        <v>0</v>
      </c>
      <c r="AK87" s="11">
        <v>0</v>
      </c>
      <c r="AL87" s="11">
        <v>1</v>
      </c>
      <c r="AM87" s="11">
        <v>0</v>
      </c>
      <c r="AN87" s="11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1">
        <v>0</v>
      </c>
      <c r="AV87" s="11">
        <v>0</v>
      </c>
      <c r="AW87" s="11">
        <v>1</v>
      </c>
      <c r="AX87" s="11">
        <v>1</v>
      </c>
      <c r="AY87" s="11">
        <v>1</v>
      </c>
      <c r="AZ87" s="11">
        <v>0</v>
      </c>
      <c r="BA87" s="11">
        <v>0</v>
      </c>
      <c r="BB87" s="11">
        <v>0</v>
      </c>
      <c r="BC87" s="11">
        <v>0</v>
      </c>
      <c r="BD87" s="11">
        <v>0</v>
      </c>
      <c r="BE87" s="11">
        <v>0</v>
      </c>
      <c r="BF87" s="11">
        <v>0</v>
      </c>
      <c r="BG87" s="11">
        <v>0</v>
      </c>
      <c r="BH87" s="11">
        <v>0</v>
      </c>
      <c r="BI87" s="11">
        <v>1</v>
      </c>
      <c r="BJ87" s="11">
        <v>0</v>
      </c>
      <c r="BK87" s="11">
        <v>1</v>
      </c>
      <c r="BL87" s="11">
        <v>0</v>
      </c>
      <c r="BM87" s="11">
        <v>0</v>
      </c>
      <c r="BN87" s="11">
        <v>0</v>
      </c>
      <c r="BO87" s="11">
        <v>0</v>
      </c>
      <c r="BP87" s="11">
        <v>0</v>
      </c>
      <c r="BQ87" s="11">
        <v>1</v>
      </c>
      <c r="BR87" s="11">
        <v>0</v>
      </c>
      <c r="BS87" s="11">
        <v>0</v>
      </c>
      <c r="BT87" s="11">
        <v>0</v>
      </c>
      <c r="BU87" s="11">
        <v>0</v>
      </c>
      <c r="BV87" s="11">
        <v>0</v>
      </c>
      <c r="BW87" s="11">
        <v>0</v>
      </c>
      <c r="BX87" s="11">
        <v>0</v>
      </c>
      <c r="BY87" s="11">
        <v>0</v>
      </c>
      <c r="BZ87" s="11">
        <v>1</v>
      </c>
      <c r="CA87" s="11">
        <v>0</v>
      </c>
      <c r="CB87" s="11">
        <v>0</v>
      </c>
      <c r="CC87" s="11">
        <v>0</v>
      </c>
      <c r="CD87" s="11">
        <v>0</v>
      </c>
      <c r="CE87" s="11">
        <v>0</v>
      </c>
      <c r="CF87" s="11">
        <v>0</v>
      </c>
      <c r="CG87" s="11">
        <v>0</v>
      </c>
      <c r="CH87" s="11">
        <f ca="1">E87</f>
        <v>3</v>
      </c>
    </row>
    <row r="88" spans="4:86" x14ac:dyDescent="0.3">
      <c r="D88" s="11">
        <v>2</v>
      </c>
      <c r="E88" s="11">
        <f t="shared" ca="1" si="14"/>
        <v>3</v>
      </c>
      <c r="F88" s="10">
        <f t="array" aca="1" ref="F88" ca="1">IF(SUM(OFFSET(Factors,VALUE(RIGHT(F$34,2)),1,1,68))=0,"None",SQRT(SUM((OFFSET(Factors,VALUE(RIGHT(F$34,2)),1,1,68)-$R88:$CG88)^2)))</f>
        <v>3.2239877825795529</v>
      </c>
      <c r="G88" s="10">
        <f t="array" aca="1" ref="G88" ca="1">IF(SUM(OFFSET(Factors,VALUE(RIGHT(G$34,2)),1,1,68))=0,"None",SQRT(SUM((OFFSET(Factors,VALUE(RIGHT(G$34,2)),1,1,68)-$R88:$CG88)^2)))</f>
        <v>3.5242188273708641</v>
      </c>
      <c r="H88" s="10">
        <f t="array" aca="1" ref="H88" ca="1">IF(SUM(OFFSET(Factors,VALUE(RIGHT(H$34,2)),1,1,68))=0,"None",SQRT(SUM((OFFSET(Factors,VALUE(RIGHT(H$34,2)),1,1,68)-$R88:$CG88)^2)))</f>
        <v>2.9488136139986545</v>
      </c>
      <c r="I88" s="10">
        <f t="array" aca="1" ref="I88" ca="1">IF(SUM(OFFSET(Factors,VALUE(RIGHT(I$34,2)),1,1,68))=0,"None",SQRT(SUM((OFFSET(Factors,VALUE(RIGHT(I$34,2)),1,1,68)-$R88:$CG88)^2)))</f>
        <v>3.3131967534803501</v>
      </c>
      <c r="J88" s="10">
        <f t="array" aca="1" ref="J88" ca="1">IF(SUM(OFFSET(Factors,VALUE(RIGHT(J$34,2)),1,1,68))=0,"None",SQRT(SUM((OFFSET(Factors,VALUE(RIGHT(J$34,2)),1,1,68)-$R88:$CG88)^2)))</f>
        <v>3.4565155865408745</v>
      </c>
      <c r="K88" s="10" t="str">
        <f t="array" aca="1" ref="K88" ca="1">IF(SUM(OFFSET(Factors,VALUE(RIGHT(K$34,2)),1,1,68))=0,"None",SQRT(SUM((OFFSET(Factors,VALUE(RIGHT(K$34,2)),1,1,68)-$R88:$CG88)^2)))</f>
        <v>None</v>
      </c>
      <c r="L88" s="10" t="str">
        <f t="array" aca="1" ref="L88" ca="1">IF(SUM(OFFSET(Factors,VALUE(RIGHT(L$34,2)),1,1,68))=0,"None",SQRT(SUM((OFFSET(Factors,VALUE(RIGHT(L$34,2)),1,1,68)-$R88:$CG88)^2)))</f>
        <v>None</v>
      </c>
      <c r="M88" s="10" t="str">
        <f t="array" aca="1" ref="M88" ca="1">IF(SUM(OFFSET(Factors,VALUE(RIGHT(M$34,2)),1,1,68))=0,"None",SQRT(SUM((OFFSET(Factors,VALUE(RIGHT(M$34,2)),1,1,68)-$R88:$CG88)^2)))</f>
        <v>None</v>
      </c>
      <c r="N88" s="10" t="str">
        <f t="array" aca="1" ref="N88" ca="1">IF(SUM(OFFSET(Factors,VALUE(RIGHT(N$34,2)),1,1,68))=0,"None",SQRT(SUM((OFFSET(Factors,VALUE(RIGHT(N$34,2)),1,1,68)-$R88:$CG88)^2)))</f>
        <v>None</v>
      </c>
      <c r="O88" s="10" t="str">
        <f t="array" aca="1" ref="O88" ca="1">IF(SUM(OFFSET(Factors,VALUE(RIGHT(O$34,2)),1,1,68))=0,"None",SQRT(SUM((OFFSET(Factors,VALUE(RIGHT(O$34,2)),1,1,68)-$R88:$CG88)^2)))</f>
        <v>None</v>
      </c>
      <c r="Q88" s="10" t="s">
        <v>75</v>
      </c>
      <c r="R88" s="11">
        <v>0</v>
      </c>
      <c r="S88" s="11">
        <v>0</v>
      </c>
      <c r="T88" s="11">
        <v>0</v>
      </c>
      <c r="U88" s="11">
        <v>0</v>
      </c>
      <c r="V88" s="11">
        <v>0</v>
      </c>
      <c r="W88" s="11">
        <v>0</v>
      </c>
      <c r="X88" s="11">
        <v>0</v>
      </c>
      <c r="Y88" s="11">
        <v>1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1</v>
      </c>
      <c r="AG88" s="11">
        <v>1</v>
      </c>
      <c r="AH88" s="11">
        <v>1</v>
      </c>
      <c r="AI88" s="11">
        <v>0</v>
      </c>
      <c r="AJ88" s="11">
        <v>0</v>
      </c>
      <c r="AK88" s="11">
        <v>1</v>
      </c>
      <c r="AL88" s="11">
        <v>0</v>
      </c>
      <c r="AM88" s="11">
        <v>0</v>
      </c>
      <c r="AN88" s="11">
        <v>0</v>
      </c>
      <c r="AO88" s="11">
        <v>0</v>
      </c>
      <c r="AP88" s="11">
        <v>0</v>
      </c>
      <c r="AQ88" s="11">
        <v>1</v>
      </c>
      <c r="AR88" s="11">
        <v>0</v>
      </c>
      <c r="AS88" s="11">
        <v>1</v>
      </c>
      <c r="AT88" s="11">
        <v>0</v>
      </c>
      <c r="AU88" s="11">
        <v>1</v>
      </c>
      <c r="AV88" s="11">
        <v>0</v>
      </c>
      <c r="AW88" s="11">
        <v>1</v>
      </c>
      <c r="AX88" s="11">
        <v>1</v>
      </c>
      <c r="AY88" s="11">
        <v>1</v>
      </c>
      <c r="AZ88" s="11">
        <v>0</v>
      </c>
      <c r="BA88" s="11">
        <v>1</v>
      </c>
      <c r="BB88" s="11">
        <v>0</v>
      </c>
      <c r="BC88" s="11">
        <v>0</v>
      </c>
      <c r="BD88" s="11">
        <v>0</v>
      </c>
      <c r="BE88" s="11">
        <v>0</v>
      </c>
      <c r="BF88" s="11">
        <v>0</v>
      </c>
      <c r="BG88" s="11">
        <v>0</v>
      </c>
      <c r="BH88" s="11">
        <v>0</v>
      </c>
      <c r="BI88" s="11">
        <v>1</v>
      </c>
      <c r="BJ88" s="11">
        <v>1</v>
      </c>
      <c r="BK88" s="11">
        <v>0</v>
      </c>
      <c r="BL88" s="11">
        <v>1</v>
      </c>
      <c r="BM88" s="11">
        <v>0</v>
      </c>
      <c r="BN88" s="11">
        <v>0</v>
      </c>
      <c r="BO88" s="11">
        <v>0</v>
      </c>
      <c r="BP88" s="11">
        <v>0</v>
      </c>
      <c r="BQ88" s="11">
        <v>0</v>
      </c>
      <c r="BR88" s="11">
        <v>0</v>
      </c>
      <c r="BS88" s="11">
        <v>0</v>
      </c>
      <c r="BT88" s="11">
        <v>0</v>
      </c>
      <c r="BU88" s="11">
        <v>0</v>
      </c>
      <c r="BV88" s="11">
        <v>0</v>
      </c>
      <c r="BW88" s="11">
        <v>0</v>
      </c>
      <c r="BX88" s="11">
        <v>0</v>
      </c>
      <c r="BY88" s="11">
        <v>0</v>
      </c>
      <c r="BZ88" s="11">
        <v>0</v>
      </c>
      <c r="CA88" s="11">
        <v>1</v>
      </c>
      <c r="CB88" s="11">
        <v>0</v>
      </c>
      <c r="CC88" s="11">
        <v>0</v>
      </c>
      <c r="CD88" s="11">
        <v>1</v>
      </c>
      <c r="CE88" s="11">
        <v>0</v>
      </c>
      <c r="CF88" s="11">
        <v>0</v>
      </c>
      <c r="CG88" s="11">
        <v>0</v>
      </c>
      <c r="CH88" s="11">
        <f ca="1">E88</f>
        <v>3</v>
      </c>
    </row>
    <row r="89" spans="4:86" x14ac:dyDescent="0.3">
      <c r="D89" s="11">
        <v>4</v>
      </c>
      <c r="E89" s="11">
        <f t="shared" ca="1" si="14"/>
        <v>3</v>
      </c>
      <c r="F89" s="10">
        <f t="array" aca="1" ref="F89" ca="1">IF(SUM(OFFSET(Factors,VALUE(RIGHT(F$34,2)),1,1,68))=0,"None",SQRT(SUM((OFFSET(Factors,VALUE(RIGHT(F$34,2)),1,1,68)-$R89:$CG89)^2)))</f>
        <v>2.7947743896223338</v>
      </c>
      <c r="G89" s="10">
        <f t="array" aca="1" ref="G89" ca="1">IF(SUM(OFFSET(Factors,VALUE(RIGHT(G$34,2)),1,1,68))=0,"None",SQRT(SUM((OFFSET(Factors,VALUE(RIGHT(G$34,2)),1,1,68)-$R89:$CG89)^2)))</f>
        <v>3.2753336701605797</v>
      </c>
      <c r="H89" s="10">
        <f t="array" aca="1" ref="H89" ca="1">IF(SUM(OFFSET(Factors,VALUE(RIGHT(H$34,2)),1,1,68))=0,"None",SQRT(SUM((OFFSET(Factors,VALUE(RIGHT(H$34,2)),1,1,68)-$R89:$CG89)^2)))</f>
        <v>2.5532393428483182</v>
      </c>
      <c r="I89" s="10">
        <f t="array" aca="1" ref="I89" ca="1">IF(SUM(OFFSET(Factors,VALUE(RIGHT(I$34,2)),1,1,68))=0,"None",SQRT(SUM((OFFSET(Factors,VALUE(RIGHT(I$34,2)),1,1,68)-$R89:$CG89)^2)))</f>
        <v>3.0858916495443065</v>
      </c>
      <c r="J89" s="10">
        <f t="array" aca="1" ref="J89" ca="1">IF(SUM(OFFSET(Factors,VALUE(RIGHT(J$34,2)),1,1,68))=0,"None",SQRT(SUM((OFFSET(Factors,VALUE(RIGHT(J$34,2)),1,1,68)-$R89:$CG89)^2)))</f>
        <v>3.0736785778607367</v>
      </c>
      <c r="K89" s="10" t="str">
        <f t="array" aca="1" ref="K89" ca="1">IF(SUM(OFFSET(Factors,VALUE(RIGHT(K$34,2)),1,1,68))=0,"None",SQRT(SUM((OFFSET(Factors,VALUE(RIGHT(K$34,2)),1,1,68)-$R89:$CG89)^2)))</f>
        <v>None</v>
      </c>
      <c r="L89" s="10" t="str">
        <f t="array" aca="1" ref="L89" ca="1">IF(SUM(OFFSET(Factors,VALUE(RIGHT(L$34,2)),1,1,68))=0,"None",SQRT(SUM((OFFSET(Factors,VALUE(RIGHT(L$34,2)),1,1,68)-$R89:$CG89)^2)))</f>
        <v>None</v>
      </c>
      <c r="M89" s="10" t="str">
        <f t="array" aca="1" ref="M89" ca="1">IF(SUM(OFFSET(Factors,VALUE(RIGHT(M$34,2)),1,1,68))=0,"None",SQRT(SUM((OFFSET(Factors,VALUE(RIGHT(M$34,2)),1,1,68)-$R89:$CG89)^2)))</f>
        <v>None</v>
      </c>
      <c r="N89" s="10" t="str">
        <f t="array" aca="1" ref="N89" ca="1">IF(SUM(OFFSET(Factors,VALUE(RIGHT(N$34,2)),1,1,68))=0,"None",SQRT(SUM((OFFSET(Factors,VALUE(RIGHT(N$34,2)),1,1,68)-$R89:$CG89)^2)))</f>
        <v>None</v>
      </c>
      <c r="O89" s="10" t="str">
        <f t="array" aca="1" ref="O89" ca="1">IF(SUM(OFFSET(Factors,VALUE(RIGHT(O$34,2)),1,1,68))=0,"None",SQRT(SUM((OFFSET(Factors,VALUE(RIGHT(O$34,2)),1,1,68)-$R89:$CG89)^2)))</f>
        <v>None</v>
      </c>
      <c r="Q89" s="10" t="s">
        <v>72</v>
      </c>
      <c r="R89" s="11">
        <v>0</v>
      </c>
      <c r="S89" s="11">
        <v>0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  <c r="Y89" s="11">
        <v>0</v>
      </c>
      <c r="Z89" s="11">
        <v>0</v>
      </c>
      <c r="AA89" s="11">
        <v>0</v>
      </c>
      <c r="AB89" s="11">
        <v>1</v>
      </c>
      <c r="AC89" s="11">
        <v>0</v>
      </c>
      <c r="AD89" s="11">
        <v>0</v>
      </c>
      <c r="AE89" s="11">
        <v>0</v>
      </c>
      <c r="AF89" s="11">
        <v>0</v>
      </c>
      <c r="AG89" s="11">
        <v>1</v>
      </c>
      <c r="AH89" s="11">
        <v>0</v>
      </c>
      <c r="AI89" s="11">
        <v>1</v>
      </c>
      <c r="AJ89" s="11">
        <v>0</v>
      </c>
      <c r="AK89" s="11">
        <v>1</v>
      </c>
      <c r="AL89" s="11">
        <v>0</v>
      </c>
      <c r="AM89" s="11">
        <v>0</v>
      </c>
      <c r="AN89" s="11">
        <v>0</v>
      </c>
      <c r="AO89" s="11">
        <v>1</v>
      </c>
      <c r="AP89" s="11">
        <v>0</v>
      </c>
      <c r="AQ89" s="11">
        <v>0</v>
      </c>
      <c r="AR89" s="11">
        <v>0</v>
      </c>
      <c r="AS89" s="11">
        <v>1</v>
      </c>
      <c r="AT89" s="11">
        <v>0</v>
      </c>
      <c r="AU89" s="11">
        <v>1</v>
      </c>
      <c r="AV89" s="11">
        <v>0</v>
      </c>
      <c r="AW89" s="11">
        <v>1</v>
      </c>
      <c r="AX89" s="11">
        <v>0</v>
      </c>
      <c r="AY89" s="11">
        <v>0</v>
      </c>
      <c r="AZ89" s="11">
        <v>0</v>
      </c>
      <c r="BA89" s="11">
        <v>0</v>
      </c>
      <c r="BB89" s="11">
        <v>0</v>
      </c>
      <c r="BC89" s="11">
        <v>0</v>
      </c>
      <c r="BD89" s="11">
        <v>1</v>
      </c>
      <c r="BE89" s="11">
        <v>0</v>
      </c>
      <c r="BF89" s="11">
        <v>0</v>
      </c>
      <c r="BG89" s="11">
        <v>0</v>
      </c>
      <c r="BH89" s="11">
        <v>0</v>
      </c>
      <c r="BI89" s="11">
        <v>1</v>
      </c>
      <c r="BJ89" s="11">
        <v>1</v>
      </c>
      <c r="BK89" s="11">
        <v>0</v>
      </c>
      <c r="BL89" s="11">
        <v>0</v>
      </c>
      <c r="BM89" s="11">
        <v>0</v>
      </c>
      <c r="BN89" s="11">
        <v>0</v>
      </c>
      <c r="BO89" s="11">
        <v>0</v>
      </c>
      <c r="BP89" s="11">
        <v>0</v>
      </c>
      <c r="BQ89" s="11">
        <v>0</v>
      </c>
      <c r="BR89" s="11">
        <v>0</v>
      </c>
      <c r="BS89" s="11">
        <v>0</v>
      </c>
      <c r="BT89" s="11">
        <v>0</v>
      </c>
      <c r="BU89" s="11">
        <v>0</v>
      </c>
      <c r="BV89" s="11">
        <v>0</v>
      </c>
      <c r="BW89" s="11">
        <v>0</v>
      </c>
      <c r="BX89" s="11">
        <v>0</v>
      </c>
      <c r="BY89" s="11">
        <v>0</v>
      </c>
      <c r="BZ89" s="11">
        <v>0</v>
      </c>
      <c r="CA89" s="11">
        <v>0</v>
      </c>
      <c r="CB89" s="11">
        <v>0</v>
      </c>
      <c r="CC89" s="11">
        <v>0</v>
      </c>
      <c r="CD89" s="11">
        <v>1</v>
      </c>
      <c r="CE89" s="11">
        <v>0</v>
      </c>
      <c r="CF89" s="11">
        <v>0</v>
      </c>
      <c r="CG89" s="11">
        <v>0</v>
      </c>
      <c r="CH89" s="11">
        <f ca="1">E89</f>
        <v>3</v>
      </c>
    </row>
    <row r="90" spans="4:86" x14ac:dyDescent="0.3">
      <c r="D90" s="11">
        <v>2</v>
      </c>
      <c r="E90" s="11">
        <f t="shared" ca="1" si="14"/>
        <v>3</v>
      </c>
      <c r="F90" s="10">
        <f t="array" aca="1" ref="F90" ca="1">IF(SUM(OFFSET(Factors,VALUE(RIGHT(F$34,2)),1,1,68))=0,"None",SQRT(SUM((OFFSET(Factors,VALUE(RIGHT(F$34,2)),1,1,68)-$R90:$CG90)^2)))</f>
        <v>3.1054946823690139</v>
      </c>
      <c r="G90" s="10">
        <f t="array" aca="1" ref="G90" ca="1">IF(SUM(OFFSET(Factors,VALUE(RIGHT(G$34,2)),1,1,68))=0,"None",SQRT(SUM((OFFSET(Factors,VALUE(RIGHT(G$34,2)),1,1,68)-$R90:$CG90)^2)))</f>
        <v>3.3679660429214824</v>
      </c>
      <c r="H90" s="10">
        <f t="array" aca="1" ref="H90" ca="1">IF(SUM(OFFSET(Factors,VALUE(RIGHT(H$34,2)),1,1,68))=0,"None",SQRT(SUM((OFFSET(Factors,VALUE(RIGHT(H$34,2)),1,1,68)-$R90:$CG90)^2)))</f>
        <v>2.9785856238052144</v>
      </c>
      <c r="I90" s="10">
        <f t="array" aca="1" ref="I90" ca="1">IF(SUM(OFFSET(Factors,VALUE(RIGHT(I$34,2)),1,1,68))=0,"None",SQRT(SUM((OFFSET(Factors,VALUE(RIGHT(I$34,2)),1,1,68)-$R90:$CG90)^2)))</f>
        <v>3.1005864547914754</v>
      </c>
      <c r="J90" s="10">
        <f t="array" aca="1" ref="J90" ca="1">IF(SUM(OFFSET(Factors,VALUE(RIGHT(J$34,2)),1,1,68))=0,"None",SQRT(SUM((OFFSET(Factors,VALUE(RIGHT(J$34,2)),1,1,68)-$R90:$CG90)^2)))</f>
        <v>3.0573681492420901</v>
      </c>
      <c r="K90" s="10" t="str">
        <f t="array" aca="1" ref="K90" ca="1">IF(SUM(OFFSET(Factors,VALUE(RIGHT(K$34,2)),1,1,68))=0,"None",SQRT(SUM((OFFSET(Factors,VALUE(RIGHT(K$34,2)),1,1,68)-$R90:$CG90)^2)))</f>
        <v>None</v>
      </c>
      <c r="L90" s="10" t="str">
        <f t="array" aca="1" ref="L90" ca="1">IF(SUM(OFFSET(Factors,VALUE(RIGHT(L$34,2)),1,1,68))=0,"None",SQRT(SUM((OFFSET(Factors,VALUE(RIGHT(L$34,2)),1,1,68)-$R90:$CG90)^2)))</f>
        <v>None</v>
      </c>
      <c r="M90" s="10" t="str">
        <f t="array" aca="1" ref="M90" ca="1">IF(SUM(OFFSET(Factors,VALUE(RIGHT(M$34,2)),1,1,68))=0,"None",SQRT(SUM((OFFSET(Factors,VALUE(RIGHT(M$34,2)),1,1,68)-$R90:$CG90)^2)))</f>
        <v>None</v>
      </c>
      <c r="N90" s="10" t="str">
        <f t="array" aca="1" ref="N90" ca="1">IF(SUM(OFFSET(Factors,VALUE(RIGHT(N$34,2)),1,1,68))=0,"None",SQRT(SUM((OFFSET(Factors,VALUE(RIGHT(N$34,2)),1,1,68)-$R90:$CG90)^2)))</f>
        <v>None</v>
      </c>
      <c r="O90" s="10" t="str">
        <f t="array" aca="1" ref="O90" ca="1">IF(SUM(OFFSET(Factors,VALUE(RIGHT(O$34,2)),1,1,68))=0,"None",SQRT(SUM((OFFSET(Factors,VALUE(RIGHT(O$34,2)),1,1,68)-$R90:$CG90)^2)))</f>
        <v>None</v>
      </c>
      <c r="Q90" s="10" t="s">
        <v>67</v>
      </c>
      <c r="R90" s="11">
        <v>0</v>
      </c>
      <c r="S90" s="11">
        <v>0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  <c r="Y90" s="11">
        <v>0</v>
      </c>
      <c r="Z90" s="11">
        <v>1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0</v>
      </c>
      <c r="AG90" s="11">
        <v>1</v>
      </c>
      <c r="AH90" s="11">
        <v>0</v>
      </c>
      <c r="AI90" s="11">
        <v>1</v>
      </c>
      <c r="AJ90" s="11">
        <v>0</v>
      </c>
      <c r="AK90" s="11">
        <v>1</v>
      </c>
      <c r="AL90" s="11">
        <v>0</v>
      </c>
      <c r="AM90" s="11">
        <v>1</v>
      </c>
      <c r="AN90" s="11">
        <v>0</v>
      </c>
      <c r="AO90" s="11">
        <v>0</v>
      </c>
      <c r="AP90" s="11">
        <v>0</v>
      </c>
      <c r="AQ90" s="11">
        <v>0</v>
      </c>
      <c r="AR90" s="11">
        <v>0</v>
      </c>
      <c r="AS90" s="11">
        <v>1</v>
      </c>
      <c r="AT90" s="11">
        <v>1</v>
      </c>
      <c r="AU90" s="11">
        <v>0</v>
      </c>
      <c r="AV90" s="11">
        <v>0</v>
      </c>
      <c r="AW90" s="11">
        <v>0</v>
      </c>
      <c r="AX90" s="11">
        <v>0</v>
      </c>
      <c r="AY90" s="11">
        <v>0</v>
      </c>
      <c r="AZ90" s="11">
        <v>0</v>
      </c>
      <c r="BA90" s="11">
        <v>1</v>
      </c>
      <c r="BB90" s="11">
        <v>1</v>
      </c>
      <c r="BC90" s="11">
        <v>0</v>
      </c>
      <c r="BD90" s="11">
        <v>0</v>
      </c>
      <c r="BE90" s="11">
        <v>0</v>
      </c>
      <c r="BF90" s="11">
        <v>0</v>
      </c>
      <c r="BG90" s="11">
        <v>0</v>
      </c>
      <c r="BH90" s="11">
        <v>0</v>
      </c>
      <c r="BI90" s="11">
        <v>1</v>
      </c>
      <c r="BJ90" s="11">
        <v>1</v>
      </c>
      <c r="BK90" s="11">
        <v>0</v>
      </c>
      <c r="BL90" s="11">
        <v>0</v>
      </c>
      <c r="BM90" s="11">
        <v>0</v>
      </c>
      <c r="BN90" s="11">
        <v>0</v>
      </c>
      <c r="BO90" s="11">
        <v>0</v>
      </c>
      <c r="BP90" s="11">
        <v>1</v>
      </c>
      <c r="BQ90" s="11">
        <v>1</v>
      </c>
      <c r="BR90" s="11">
        <v>0</v>
      </c>
      <c r="BS90" s="11">
        <v>0</v>
      </c>
      <c r="BT90" s="11">
        <v>0</v>
      </c>
      <c r="BU90" s="11">
        <v>0</v>
      </c>
      <c r="BV90" s="11">
        <v>0</v>
      </c>
      <c r="BW90" s="11">
        <v>0</v>
      </c>
      <c r="BX90" s="11">
        <v>0</v>
      </c>
      <c r="BY90" s="11">
        <v>0</v>
      </c>
      <c r="BZ90" s="11">
        <v>0</v>
      </c>
      <c r="CA90" s="11">
        <v>0</v>
      </c>
      <c r="CB90" s="11">
        <v>0</v>
      </c>
      <c r="CC90" s="11">
        <v>0</v>
      </c>
      <c r="CD90" s="11">
        <v>0</v>
      </c>
      <c r="CE90" s="11">
        <v>1</v>
      </c>
      <c r="CF90" s="11">
        <v>0</v>
      </c>
      <c r="CG90" s="11">
        <v>0</v>
      </c>
      <c r="CH90" s="11">
        <f ca="1">E90</f>
        <v>3</v>
      </c>
    </row>
    <row r="91" spans="4:86" x14ac:dyDescent="0.3">
      <c r="D91" s="11">
        <v>1</v>
      </c>
      <c r="E91" s="11">
        <f t="shared" ca="1" si="14"/>
        <v>3</v>
      </c>
      <c r="F91" s="10">
        <f t="array" aca="1" ref="F91" ca="1">IF(SUM(OFFSET(Factors,VALUE(RIGHT(F$34,2)),1,1,68))=0,"None",SQRT(SUM((OFFSET(Factors,VALUE(RIGHT(F$34,2)),1,1,68)-$R91:$CG91)^2)))</f>
        <v>3.0785435770109797</v>
      </c>
      <c r="G91" s="10">
        <f t="array" aca="1" ref="G91" ca="1">IF(SUM(OFFSET(Factors,VALUE(RIGHT(G$34,2)),1,1,68))=0,"None",SQRT(SUM((OFFSET(Factors,VALUE(RIGHT(G$34,2)),1,1,68)-$R91:$CG91)^2)))</f>
        <v>3.0692211297323087</v>
      </c>
      <c r="H91" s="10">
        <f t="array" aca="1" ref="H91" ca="1">IF(SUM(OFFSET(Factors,VALUE(RIGHT(H$34,2)),1,1,68))=0,"None",SQRT(SUM((OFFSET(Factors,VALUE(RIGHT(H$34,2)),1,1,68)-$R91:$CG91)^2)))</f>
        <v>2.7846589125987351</v>
      </c>
      <c r="I91" s="10">
        <f t="array" aca="1" ref="I91" ca="1">IF(SUM(OFFSET(Factors,VALUE(RIGHT(I$34,2)),1,1,68))=0,"None",SQRT(SUM((OFFSET(Factors,VALUE(RIGHT(I$34,2)),1,1,68)-$R91:$CG91)^2)))</f>
        <v>3.0711265330197945</v>
      </c>
      <c r="J91" s="10">
        <f t="array" aca="1" ref="J91" ca="1">IF(SUM(OFFSET(Factors,VALUE(RIGHT(J$34,2)),1,1,68))=0,"None",SQRT(SUM((OFFSET(Factors,VALUE(RIGHT(J$34,2)),1,1,68)-$R91:$CG91)^2)))</f>
        <v>3.3537292675468007</v>
      </c>
      <c r="K91" s="10" t="str">
        <f t="array" aca="1" ref="K91" ca="1">IF(SUM(OFFSET(Factors,VALUE(RIGHT(K$34,2)),1,1,68))=0,"None",SQRT(SUM((OFFSET(Factors,VALUE(RIGHT(K$34,2)),1,1,68)-$R91:$CG91)^2)))</f>
        <v>None</v>
      </c>
      <c r="L91" s="10" t="str">
        <f t="array" aca="1" ref="L91" ca="1">IF(SUM(OFFSET(Factors,VALUE(RIGHT(L$34,2)),1,1,68))=0,"None",SQRT(SUM((OFFSET(Factors,VALUE(RIGHT(L$34,2)),1,1,68)-$R91:$CG91)^2)))</f>
        <v>None</v>
      </c>
      <c r="M91" s="10" t="str">
        <f t="array" aca="1" ref="M91" ca="1">IF(SUM(OFFSET(Factors,VALUE(RIGHT(M$34,2)),1,1,68))=0,"None",SQRT(SUM((OFFSET(Factors,VALUE(RIGHT(M$34,2)),1,1,68)-$R91:$CG91)^2)))</f>
        <v>None</v>
      </c>
      <c r="N91" s="10" t="str">
        <f t="array" aca="1" ref="N91" ca="1">IF(SUM(OFFSET(Factors,VALUE(RIGHT(N$34,2)),1,1,68))=0,"None",SQRT(SUM((OFFSET(Factors,VALUE(RIGHT(N$34,2)),1,1,68)-$R91:$CG91)^2)))</f>
        <v>None</v>
      </c>
      <c r="O91" s="10" t="str">
        <f t="array" aca="1" ref="O91" ca="1">IF(SUM(OFFSET(Factors,VALUE(RIGHT(O$34,2)),1,1,68))=0,"None",SQRT(SUM((OFFSET(Factors,VALUE(RIGHT(O$34,2)),1,1,68)-$R91:$CG91)^2)))</f>
        <v>None</v>
      </c>
      <c r="Q91" s="10" t="s">
        <v>63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  <c r="Y91" s="11">
        <v>1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1</v>
      </c>
      <c r="AG91" s="11">
        <v>0</v>
      </c>
      <c r="AH91" s="11">
        <v>0</v>
      </c>
      <c r="AI91" s="11">
        <v>0</v>
      </c>
      <c r="AJ91" s="11">
        <v>1</v>
      </c>
      <c r="AK91" s="11">
        <v>0</v>
      </c>
      <c r="AL91" s="11">
        <v>0</v>
      </c>
      <c r="AM91" s="11">
        <v>0</v>
      </c>
      <c r="AN91" s="11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1</v>
      </c>
      <c r="AT91" s="11">
        <v>0</v>
      </c>
      <c r="AU91" s="11">
        <v>1</v>
      </c>
      <c r="AV91" s="11">
        <v>1</v>
      </c>
      <c r="AW91" s="11">
        <v>1</v>
      </c>
      <c r="AX91" s="11">
        <v>0</v>
      </c>
      <c r="AY91" s="11">
        <v>0</v>
      </c>
      <c r="AZ91" s="11">
        <v>0</v>
      </c>
      <c r="BA91" s="11">
        <v>0</v>
      </c>
      <c r="BB91" s="11">
        <v>0</v>
      </c>
      <c r="BC91" s="11">
        <v>0</v>
      </c>
      <c r="BD91" s="11">
        <v>0</v>
      </c>
      <c r="BE91" s="11">
        <v>0</v>
      </c>
      <c r="BF91" s="11">
        <v>0</v>
      </c>
      <c r="BG91" s="11">
        <v>0</v>
      </c>
      <c r="BH91" s="11">
        <v>0</v>
      </c>
      <c r="BI91" s="11">
        <v>0</v>
      </c>
      <c r="BJ91" s="11">
        <v>0</v>
      </c>
      <c r="BK91" s="11">
        <v>0</v>
      </c>
      <c r="BL91" s="11">
        <v>0</v>
      </c>
      <c r="BM91" s="11">
        <v>1</v>
      </c>
      <c r="BN91" s="11">
        <v>0</v>
      </c>
      <c r="BO91" s="11">
        <v>0</v>
      </c>
      <c r="BP91" s="11">
        <v>0</v>
      </c>
      <c r="BQ91" s="11">
        <v>0</v>
      </c>
      <c r="BR91" s="11">
        <v>1</v>
      </c>
      <c r="BS91" s="11">
        <v>0</v>
      </c>
      <c r="BT91" s="11">
        <v>0</v>
      </c>
      <c r="BU91" s="11">
        <v>0</v>
      </c>
      <c r="BV91" s="11">
        <v>0</v>
      </c>
      <c r="BW91" s="11">
        <v>0</v>
      </c>
      <c r="BX91" s="11">
        <v>0</v>
      </c>
      <c r="BY91" s="11">
        <v>0</v>
      </c>
      <c r="BZ91" s="11">
        <v>0</v>
      </c>
      <c r="CA91" s="11">
        <v>0</v>
      </c>
      <c r="CB91" s="11">
        <v>0</v>
      </c>
      <c r="CC91" s="11">
        <v>0</v>
      </c>
      <c r="CD91" s="11">
        <v>0</v>
      </c>
      <c r="CE91" s="11">
        <v>1</v>
      </c>
      <c r="CF91" s="11">
        <v>0</v>
      </c>
      <c r="CG91" s="11">
        <v>0</v>
      </c>
      <c r="CH91" s="11">
        <f ca="1">E91</f>
        <v>3</v>
      </c>
    </row>
    <row r="92" spans="4:86" x14ac:dyDescent="0.3">
      <c r="D92" s="11">
        <v>2</v>
      </c>
      <c r="E92" s="11">
        <f t="shared" ca="1" si="14"/>
        <v>3</v>
      </c>
      <c r="F92" s="10">
        <f t="array" aca="1" ref="F92" ca="1">IF(SUM(OFFSET(Factors,VALUE(RIGHT(F$34,2)),1,1,68))=0,"None",SQRT(SUM((OFFSET(Factors,VALUE(RIGHT(F$34,2)),1,1,68)-$R92:$CG92)^2)))</f>
        <v>3.1980354212477944</v>
      </c>
      <c r="G92" s="10">
        <f t="array" aca="1" ref="G92" ca="1">IF(SUM(OFFSET(Factors,VALUE(RIGHT(G$34,2)),1,1,68))=0,"None",SQRT(SUM((OFFSET(Factors,VALUE(RIGHT(G$34,2)),1,1,68)-$R92:$CG92)^2)))</f>
        <v>3.5891025068579099</v>
      </c>
      <c r="H92" s="10">
        <f t="array" aca="1" ref="H92" ca="1">IF(SUM(OFFSET(Factors,VALUE(RIGHT(H$34,2)),1,1,68))=0,"None",SQRT(SUM((OFFSET(Factors,VALUE(RIGHT(H$34,2)),1,1,68)-$R92:$CG92)^2)))</f>
        <v>2.9287974787069651</v>
      </c>
      <c r="I92" s="10">
        <f t="array" aca="1" ref="I92" ca="1">IF(SUM(OFFSET(Factors,VALUE(RIGHT(I$34,2)),1,1,68))=0,"None",SQRT(SUM((OFFSET(Factors,VALUE(RIGHT(I$34,2)),1,1,68)-$R92:$CG92)^2)))</f>
        <v>3.4608196611890558</v>
      </c>
      <c r="J92" s="10">
        <f t="array" aca="1" ref="J92" ca="1">IF(SUM(OFFSET(Factors,VALUE(RIGHT(J$34,2)),1,1,68))=0,"None",SQRT(SUM((OFFSET(Factors,VALUE(RIGHT(J$34,2)),1,1,68)-$R92:$CG92)^2)))</f>
        <v>3.7613162589710534</v>
      </c>
      <c r="K92" s="10" t="str">
        <f t="array" aca="1" ref="K92" ca="1">IF(SUM(OFFSET(Factors,VALUE(RIGHT(K$34,2)),1,1,68))=0,"None",SQRT(SUM((OFFSET(Factors,VALUE(RIGHT(K$34,2)),1,1,68)-$R92:$CG92)^2)))</f>
        <v>None</v>
      </c>
      <c r="L92" s="10" t="str">
        <f t="array" aca="1" ref="L92" ca="1">IF(SUM(OFFSET(Factors,VALUE(RIGHT(L$34,2)),1,1,68))=0,"None",SQRT(SUM((OFFSET(Factors,VALUE(RIGHT(L$34,2)),1,1,68)-$R92:$CG92)^2)))</f>
        <v>None</v>
      </c>
      <c r="M92" s="10" t="str">
        <f t="array" aca="1" ref="M92" ca="1">IF(SUM(OFFSET(Factors,VALUE(RIGHT(M$34,2)),1,1,68))=0,"None",SQRT(SUM((OFFSET(Factors,VALUE(RIGHT(M$34,2)),1,1,68)-$R92:$CG92)^2)))</f>
        <v>None</v>
      </c>
      <c r="N92" s="10" t="str">
        <f t="array" aca="1" ref="N92" ca="1">IF(SUM(OFFSET(Factors,VALUE(RIGHT(N$34,2)),1,1,68))=0,"None",SQRT(SUM((OFFSET(Factors,VALUE(RIGHT(N$34,2)),1,1,68)-$R92:$CG92)^2)))</f>
        <v>None</v>
      </c>
      <c r="O92" s="10" t="str">
        <f t="array" aca="1" ref="O92" ca="1">IF(SUM(OFFSET(Factors,VALUE(RIGHT(O$34,2)),1,1,68))=0,"None",SQRT(SUM((OFFSET(Factors,VALUE(RIGHT(O$34,2)),1,1,68)-$R92:$CG92)^2)))</f>
        <v>None</v>
      </c>
      <c r="Q92" s="10" t="s">
        <v>49</v>
      </c>
      <c r="R92" s="11">
        <v>0</v>
      </c>
      <c r="S92" s="11">
        <v>0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  <c r="Y92" s="11">
        <v>1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0</v>
      </c>
      <c r="AG92" s="11">
        <v>1</v>
      </c>
      <c r="AH92" s="11">
        <v>0</v>
      </c>
      <c r="AI92" s="11">
        <v>1</v>
      </c>
      <c r="AJ92" s="11">
        <v>0</v>
      </c>
      <c r="AK92" s="11">
        <v>1</v>
      </c>
      <c r="AL92" s="11">
        <v>0</v>
      </c>
      <c r="AM92" s="11">
        <v>0</v>
      </c>
      <c r="AN92" s="11">
        <v>0</v>
      </c>
      <c r="AO92" s="11">
        <v>0</v>
      </c>
      <c r="AP92" s="11">
        <v>0</v>
      </c>
      <c r="AQ92" s="11">
        <v>0</v>
      </c>
      <c r="AR92" s="11">
        <v>0</v>
      </c>
      <c r="AS92" s="11">
        <v>1</v>
      </c>
      <c r="AT92" s="11">
        <v>0</v>
      </c>
      <c r="AU92" s="11">
        <v>0</v>
      </c>
      <c r="AV92" s="11">
        <v>0</v>
      </c>
      <c r="AW92" s="11">
        <v>1</v>
      </c>
      <c r="AX92" s="11">
        <v>1</v>
      </c>
      <c r="AY92" s="11">
        <v>1</v>
      </c>
      <c r="AZ92" s="11">
        <v>0</v>
      </c>
      <c r="BA92" s="11">
        <v>1</v>
      </c>
      <c r="BB92" s="11">
        <v>0</v>
      </c>
      <c r="BC92" s="11">
        <v>0</v>
      </c>
      <c r="BD92" s="11">
        <v>1</v>
      </c>
      <c r="BE92" s="11">
        <v>0</v>
      </c>
      <c r="BF92" s="11">
        <v>0</v>
      </c>
      <c r="BG92" s="11">
        <v>0</v>
      </c>
      <c r="BH92" s="11">
        <v>0</v>
      </c>
      <c r="BI92" s="11">
        <v>1</v>
      </c>
      <c r="BJ92" s="11">
        <v>0</v>
      </c>
      <c r="BK92" s="11">
        <v>0</v>
      </c>
      <c r="BL92" s="11">
        <v>1</v>
      </c>
      <c r="BM92" s="11">
        <v>0</v>
      </c>
      <c r="BN92" s="11">
        <v>0</v>
      </c>
      <c r="BO92" s="11">
        <v>0</v>
      </c>
      <c r="BP92" s="11">
        <v>0</v>
      </c>
      <c r="BQ92" s="11">
        <v>0</v>
      </c>
      <c r="BR92" s="11">
        <v>1</v>
      </c>
      <c r="BS92" s="11">
        <v>0</v>
      </c>
      <c r="BT92" s="11">
        <v>0</v>
      </c>
      <c r="BU92" s="11">
        <v>0</v>
      </c>
      <c r="BV92" s="11">
        <v>0</v>
      </c>
      <c r="BW92" s="11">
        <v>0</v>
      </c>
      <c r="BX92" s="11">
        <v>1</v>
      </c>
      <c r="BY92" s="11">
        <v>0</v>
      </c>
      <c r="BZ92" s="11">
        <v>0</v>
      </c>
      <c r="CA92" s="11">
        <v>0</v>
      </c>
      <c r="CB92" s="11">
        <v>0</v>
      </c>
      <c r="CC92" s="11">
        <v>0</v>
      </c>
      <c r="CD92" s="11">
        <v>0</v>
      </c>
      <c r="CE92" s="11">
        <v>0</v>
      </c>
      <c r="CF92" s="11">
        <v>0</v>
      </c>
      <c r="CG92" s="11">
        <v>1</v>
      </c>
      <c r="CH92" s="11">
        <f ca="1">E92</f>
        <v>3</v>
      </c>
    </row>
    <row r="93" spans="4:86" x14ac:dyDescent="0.3">
      <c r="D93" s="11">
        <v>2</v>
      </c>
      <c r="E93" s="11">
        <f t="shared" ca="1" si="14"/>
        <v>3</v>
      </c>
      <c r="F93" s="10">
        <f t="array" aca="1" ref="F93" ca="1">IF(SUM(OFFSET(Factors,VALUE(RIGHT(F$34,2)),1,1,68))=0,"None",SQRT(SUM((OFFSET(Factors,VALUE(RIGHT(F$34,2)),1,1,68)-$R93:$CG93)^2)))</f>
        <v>3.1054946823690139</v>
      </c>
      <c r="G93" s="10">
        <f t="array" aca="1" ref="G93" ca="1">IF(SUM(OFFSET(Factors,VALUE(RIGHT(G$34,2)),1,1,68))=0,"None",SQRT(SUM((OFFSET(Factors,VALUE(RIGHT(G$34,2)),1,1,68)-$R93:$CG93)^2)))</f>
        <v>3.1312511441611726</v>
      </c>
      <c r="H93" s="10">
        <f t="array" aca="1" ref="H93" ca="1">IF(SUM(OFFSET(Factors,VALUE(RIGHT(H$34,2)),1,1,68))=0,"None",SQRT(SUM((OFFSET(Factors,VALUE(RIGHT(H$34,2)),1,1,68)-$R93:$CG93)^2)))</f>
        <v>2.5647328654813695</v>
      </c>
      <c r="I93" s="10">
        <f t="array" aca="1" ref="I93" ca="1">IF(SUM(OFFSET(Factors,VALUE(RIGHT(I$34,2)),1,1,68))=0,"None",SQRT(SUM((OFFSET(Factors,VALUE(RIGHT(I$34,2)),1,1,68)-$R93:$CG93)^2)))</f>
        <v>3.0413812651491097</v>
      </c>
      <c r="J93" s="10">
        <f t="array" aca="1" ref="J93" ca="1">IF(SUM(OFFSET(Factors,VALUE(RIGHT(J$34,2)),1,1,68))=0,"None",SQRT(SUM((OFFSET(Factors,VALUE(RIGHT(J$34,2)),1,1,68)-$R93:$CG93)^2)))</f>
        <v>3.007906248539006</v>
      </c>
      <c r="K93" s="10" t="str">
        <f t="array" aca="1" ref="K93" ca="1">IF(SUM(OFFSET(Factors,VALUE(RIGHT(K$34,2)),1,1,68))=0,"None",SQRT(SUM((OFFSET(Factors,VALUE(RIGHT(K$34,2)),1,1,68)-$R93:$CG93)^2)))</f>
        <v>None</v>
      </c>
      <c r="L93" s="10" t="str">
        <f t="array" aca="1" ref="L93" ca="1">IF(SUM(OFFSET(Factors,VALUE(RIGHT(L$34,2)),1,1,68))=0,"None",SQRT(SUM((OFFSET(Factors,VALUE(RIGHT(L$34,2)),1,1,68)-$R93:$CG93)^2)))</f>
        <v>None</v>
      </c>
      <c r="M93" s="10" t="str">
        <f t="array" aca="1" ref="M93" ca="1">IF(SUM(OFFSET(Factors,VALUE(RIGHT(M$34,2)),1,1,68))=0,"None",SQRT(SUM((OFFSET(Factors,VALUE(RIGHT(M$34,2)),1,1,68)-$R93:$CG93)^2)))</f>
        <v>None</v>
      </c>
      <c r="N93" s="10" t="str">
        <f t="array" aca="1" ref="N93" ca="1">IF(SUM(OFFSET(Factors,VALUE(RIGHT(N$34,2)),1,1,68))=0,"None",SQRT(SUM((OFFSET(Factors,VALUE(RIGHT(N$34,2)),1,1,68)-$R93:$CG93)^2)))</f>
        <v>None</v>
      </c>
      <c r="O93" s="10" t="str">
        <f t="array" aca="1" ref="O93" ca="1">IF(SUM(OFFSET(Factors,VALUE(RIGHT(O$34,2)),1,1,68))=0,"None",SQRT(SUM((OFFSET(Factors,VALUE(RIGHT(O$34,2)),1,1,68)-$R93:$CG93)^2)))</f>
        <v>None</v>
      </c>
      <c r="Q93" s="10" t="s">
        <v>39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1</v>
      </c>
      <c r="X93" s="11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1</v>
      </c>
      <c r="AG93" s="11">
        <v>1</v>
      </c>
      <c r="AH93" s="11">
        <v>1</v>
      </c>
      <c r="AI93" s="11">
        <v>0</v>
      </c>
      <c r="AJ93" s="11">
        <v>0</v>
      </c>
      <c r="AK93" s="11">
        <v>1</v>
      </c>
      <c r="AL93" s="11">
        <v>0</v>
      </c>
      <c r="AM93" s="11">
        <v>0</v>
      </c>
      <c r="AN93" s="11">
        <v>1</v>
      </c>
      <c r="AO93" s="11">
        <v>0</v>
      </c>
      <c r="AP93" s="11">
        <v>0</v>
      </c>
      <c r="AQ93" s="11">
        <v>1</v>
      </c>
      <c r="AR93" s="11">
        <v>0</v>
      </c>
      <c r="AS93" s="11">
        <v>1</v>
      </c>
      <c r="AT93" s="11">
        <v>0</v>
      </c>
      <c r="AU93" s="11">
        <v>0</v>
      </c>
      <c r="AV93" s="11">
        <v>1</v>
      </c>
      <c r="AW93" s="11">
        <v>0</v>
      </c>
      <c r="AX93" s="11">
        <v>0</v>
      </c>
      <c r="AY93" s="11">
        <v>0</v>
      </c>
      <c r="AZ93" s="11">
        <v>0</v>
      </c>
      <c r="BA93" s="11">
        <v>0</v>
      </c>
      <c r="BB93" s="11">
        <v>0</v>
      </c>
      <c r="BC93" s="11">
        <v>0</v>
      </c>
      <c r="BD93" s="11">
        <v>0</v>
      </c>
      <c r="BE93" s="11">
        <v>0</v>
      </c>
      <c r="BF93" s="11">
        <v>0</v>
      </c>
      <c r="BG93" s="11">
        <v>0</v>
      </c>
      <c r="BH93" s="11">
        <v>0</v>
      </c>
      <c r="BI93" s="11">
        <v>0</v>
      </c>
      <c r="BJ93" s="11">
        <v>1</v>
      </c>
      <c r="BK93" s="11">
        <v>0</v>
      </c>
      <c r="BL93" s="11">
        <v>0</v>
      </c>
      <c r="BM93" s="11">
        <v>1</v>
      </c>
      <c r="BN93" s="11">
        <v>0</v>
      </c>
      <c r="BO93" s="11">
        <v>0</v>
      </c>
      <c r="BP93" s="11">
        <v>0</v>
      </c>
      <c r="BQ93" s="11">
        <v>0</v>
      </c>
      <c r="BR93" s="11">
        <v>0</v>
      </c>
      <c r="BS93" s="11">
        <v>0</v>
      </c>
      <c r="BT93" s="11">
        <v>0</v>
      </c>
      <c r="BU93" s="11">
        <v>0</v>
      </c>
      <c r="BV93" s="11">
        <v>0</v>
      </c>
      <c r="BW93" s="11">
        <v>0</v>
      </c>
      <c r="BX93" s="11">
        <v>0</v>
      </c>
      <c r="BY93" s="11">
        <v>0</v>
      </c>
      <c r="BZ93" s="11">
        <v>0</v>
      </c>
      <c r="CA93" s="11">
        <v>0</v>
      </c>
      <c r="CB93" s="11">
        <v>1</v>
      </c>
      <c r="CC93" s="11">
        <v>0</v>
      </c>
      <c r="CD93" s="11">
        <v>0</v>
      </c>
      <c r="CE93" s="11">
        <v>1</v>
      </c>
      <c r="CF93" s="11">
        <v>0</v>
      </c>
      <c r="CG93" s="11">
        <v>0</v>
      </c>
      <c r="CH93" s="11">
        <f ca="1">E93</f>
        <v>3</v>
      </c>
    </row>
    <row r="94" spans="4:86" x14ac:dyDescent="0.3">
      <c r="D94" s="11">
        <v>3</v>
      </c>
      <c r="E94" s="11">
        <f t="shared" ca="1" si="14"/>
        <v>3</v>
      </c>
      <c r="F94" s="10">
        <f t="array" aca="1" ref="F94" ca="1">IF(SUM(OFFSET(Factors,VALUE(RIGHT(F$34,2)),1,1,68))=0,"None",SQRT(SUM((OFFSET(Factors,VALUE(RIGHT(F$34,2)),1,1,68)-$R94:$CG94)^2)))</f>
        <v>3.1980354212477939</v>
      </c>
      <c r="G94" s="10">
        <f t="array" aca="1" ref="G94" ca="1">IF(SUM(OFFSET(Factors,VALUE(RIGHT(G$34,2)),1,1,68))=0,"None",SQRT(SUM((OFFSET(Factors,VALUE(RIGHT(G$34,2)),1,1,68)-$R94:$CG94)^2)))</f>
        <v>3.228020808978044</v>
      </c>
      <c r="H94" s="10">
        <f t="array" aca="1" ref="H94" ca="1">IF(SUM(OFFSET(Factors,VALUE(RIGHT(H$34,2)),1,1,68))=0,"None",SQRT(SUM((OFFSET(Factors,VALUE(RIGHT(H$34,2)),1,1,68)-$R94:$CG94)^2)))</f>
        <v>2.7420851813662743</v>
      </c>
      <c r="I94" s="10">
        <f t="array" aca="1" ref="I94" ca="1">IF(SUM(OFFSET(Factors,VALUE(RIGHT(I$34,2)),1,1,68))=0,"None",SQRT(SUM((OFFSET(Factors,VALUE(RIGHT(I$34,2)),1,1,68)-$R94:$CG94)^2)))</f>
        <v>2.981000442194472</v>
      </c>
      <c r="J94" s="10">
        <f t="array" aca="1" ref="J94" ca="1">IF(SUM(OFFSET(Factors,VALUE(RIGHT(J$34,2)),1,1,68))=0,"None",SQRT(SUM((OFFSET(Factors,VALUE(RIGHT(J$34,2)),1,1,68)-$R94:$CG94)^2)))</f>
        <v>3.2630507198019467</v>
      </c>
      <c r="K94" s="10" t="str">
        <f t="array" aca="1" ref="K94" ca="1">IF(SUM(OFFSET(Factors,VALUE(RIGHT(K$34,2)),1,1,68))=0,"None",SQRT(SUM((OFFSET(Factors,VALUE(RIGHT(K$34,2)),1,1,68)-$R94:$CG94)^2)))</f>
        <v>None</v>
      </c>
      <c r="L94" s="10" t="str">
        <f t="array" aca="1" ref="L94" ca="1">IF(SUM(OFFSET(Factors,VALUE(RIGHT(L$34,2)),1,1,68))=0,"None",SQRT(SUM((OFFSET(Factors,VALUE(RIGHT(L$34,2)),1,1,68)-$R94:$CG94)^2)))</f>
        <v>None</v>
      </c>
      <c r="M94" s="10" t="str">
        <f t="array" aca="1" ref="M94" ca="1">IF(SUM(OFFSET(Factors,VALUE(RIGHT(M$34,2)),1,1,68))=0,"None",SQRT(SUM((OFFSET(Factors,VALUE(RIGHT(M$34,2)),1,1,68)-$R94:$CG94)^2)))</f>
        <v>None</v>
      </c>
      <c r="N94" s="10" t="str">
        <f t="array" aca="1" ref="N94" ca="1">IF(SUM(OFFSET(Factors,VALUE(RIGHT(N$34,2)),1,1,68))=0,"None",SQRT(SUM((OFFSET(Factors,VALUE(RIGHT(N$34,2)),1,1,68)-$R94:$CG94)^2)))</f>
        <v>None</v>
      </c>
      <c r="O94" s="10" t="str">
        <f t="array" aca="1" ref="O94" ca="1">IF(SUM(OFFSET(Factors,VALUE(RIGHT(O$34,2)),1,1,68))=0,"None",SQRT(SUM((OFFSET(Factors,VALUE(RIGHT(O$34,2)),1,1,68)-$R94:$CG94)^2)))</f>
        <v>None</v>
      </c>
      <c r="Q94" s="10" t="s">
        <v>36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1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1</v>
      </c>
      <c r="AH94" s="11">
        <v>1</v>
      </c>
      <c r="AI94" s="11">
        <v>1</v>
      </c>
      <c r="AJ94" s="11">
        <v>0</v>
      </c>
      <c r="AK94" s="11">
        <v>1</v>
      </c>
      <c r="AL94" s="11">
        <v>0</v>
      </c>
      <c r="AM94" s="11">
        <v>0</v>
      </c>
      <c r="AN94" s="11">
        <v>0</v>
      </c>
      <c r="AO94" s="11">
        <v>1</v>
      </c>
      <c r="AP94" s="11">
        <v>0</v>
      </c>
      <c r="AQ94" s="11">
        <v>0</v>
      </c>
      <c r="AR94" s="11">
        <v>1</v>
      </c>
      <c r="AS94" s="11">
        <v>0</v>
      </c>
      <c r="AT94" s="11">
        <v>0</v>
      </c>
      <c r="AU94" s="11">
        <v>0</v>
      </c>
      <c r="AV94" s="11">
        <v>0</v>
      </c>
      <c r="AW94" s="11">
        <v>1</v>
      </c>
      <c r="AX94" s="11">
        <v>0</v>
      </c>
      <c r="AY94" s="11">
        <v>0</v>
      </c>
      <c r="AZ94" s="11">
        <v>0</v>
      </c>
      <c r="BA94" s="11">
        <v>1</v>
      </c>
      <c r="BB94" s="11">
        <v>0</v>
      </c>
      <c r="BC94" s="11">
        <v>0</v>
      </c>
      <c r="BD94" s="11">
        <v>0</v>
      </c>
      <c r="BE94" s="11">
        <v>0</v>
      </c>
      <c r="BF94" s="11">
        <v>0</v>
      </c>
      <c r="BG94" s="11">
        <v>0</v>
      </c>
      <c r="BH94" s="11">
        <v>0</v>
      </c>
      <c r="BI94" s="11">
        <v>0</v>
      </c>
      <c r="BJ94" s="11">
        <v>1</v>
      </c>
      <c r="BK94" s="11">
        <v>0</v>
      </c>
      <c r="BL94" s="11">
        <v>0</v>
      </c>
      <c r="BM94" s="11">
        <v>1</v>
      </c>
      <c r="BN94" s="11">
        <v>0</v>
      </c>
      <c r="BO94" s="11">
        <v>0</v>
      </c>
      <c r="BP94" s="11">
        <v>0</v>
      </c>
      <c r="BQ94" s="11">
        <v>0</v>
      </c>
      <c r="BR94" s="11">
        <v>0</v>
      </c>
      <c r="BS94" s="11">
        <v>0</v>
      </c>
      <c r="BT94" s="11">
        <v>0</v>
      </c>
      <c r="BU94" s="11">
        <v>0</v>
      </c>
      <c r="BV94" s="11">
        <v>0</v>
      </c>
      <c r="BW94" s="11">
        <v>0</v>
      </c>
      <c r="BX94" s="11">
        <v>0</v>
      </c>
      <c r="BY94" s="11">
        <v>1</v>
      </c>
      <c r="BZ94" s="11">
        <v>0</v>
      </c>
      <c r="CA94" s="11">
        <v>0</v>
      </c>
      <c r="CB94" s="11">
        <v>1</v>
      </c>
      <c r="CC94" s="11">
        <v>0</v>
      </c>
      <c r="CD94" s="11">
        <v>0</v>
      </c>
      <c r="CE94" s="11">
        <v>0</v>
      </c>
      <c r="CF94" s="11">
        <v>0</v>
      </c>
      <c r="CG94" s="11">
        <v>0</v>
      </c>
      <c r="CH94" s="11">
        <f ca="1">E94</f>
        <v>3</v>
      </c>
    </row>
    <row r="95" spans="4:86" x14ac:dyDescent="0.3">
      <c r="D95" s="11">
        <v>4</v>
      </c>
      <c r="E95" s="11">
        <f t="shared" ca="1" si="14"/>
        <v>3</v>
      </c>
      <c r="F95" s="10">
        <f t="array" aca="1" ref="F95" ca="1">IF(SUM(OFFSET(Factors,VALUE(RIGHT(F$34,2)),1,1,68))=0,"None",SQRT(SUM((OFFSET(Factors,VALUE(RIGHT(F$34,2)),1,1,68)-$R95:$CG95)^2)))</f>
        <v>3.4848381916844038</v>
      </c>
      <c r="G95" s="10">
        <f t="array" aca="1" ref="G95" ca="1">IF(SUM(OFFSET(Factors,VALUE(RIGHT(G$34,2)),1,1,68))=0,"None",SQRT(SUM((OFFSET(Factors,VALUE(RIGHT(G$34,2)),1,1,68)-$R95:$CG95)^2)))</f>
        <v>3.9366281790535345</v>
      </c>
      <c r="H95" s="10">
        <f t="array" aca="1" ref="H95" ca="1">IF(SUM(OFFSET(Factors,VALUE(RIGHT(H$34,2)),1,1,68))=0,"None",SQRT(SUM((OFFSET(Factors,VALUE(RIGHT(H$34,2)),1,1,68)-$R95:$CG95)^2)))</f>
        <v>2.9086436035473211</v>
      </c>
      <c r="I95" s="10">
        <f t="array" aca="1" ref="I95" ca="1">IF(SUM(OFFSET(Factors,VALUE(RIGHT(I$34,2)),1,1,68))=0,"None",SQRT(SUM((OFFSET(Factors,VALUE(RIGHT(I$34,2)),1,1,68)-$R95:$CG95)^2)))</f>
        <v>3.7628567484148152</v>
      </c>
      <c r="J95" s="10">
        <f t="array" aca="1" ref="J95" ca="1">IF(SUM(OFFSET(Factors,VALUE(RIGHT(J$34,2)),1,1,68))=0,"None",SQRT(SUM((OFFSET(Factors,VALUE(RIGHT(J$34,2)),1,1,68)-$R95:$CG95)^2)))</f>
        <v>3.5422450508117023</v>
      </c>
      <c r="K95" s="10" t="str">
        <f t="array" aca="1" ref="K95" ca="1">IF(SUM(OFFSET(Factors,VALUE(RIGHT(K$34,2)),1,1,68))=0,"None",SQRT(SUM((OFFSET(Factors,VALUE(RIGHT(K$34,2)),1,1,68)-$R95:$CG95)^2)))</f>
        <v>None</v>
      </c>
      <c r="L95" s="10" t="str">
        <f t="array" aca="1" ref="L95" ca="1">IF(SUM(OFFSET(Factors,VALUE(RIGHT(L$34,2)),1,1,68))=0,"None",SQRT(SUM((OFFSET(Factors,VALUE(RIGHT(L$34,2)),1,1,68)-$R95:$CG95)^2)))</f>
        <v>None</v>
      </c>
      <c r="M95" s="10" t="str">
        <f t="array" aca="1" ref="M95" ca="1">IF(SUM(OFFSET(Factors,VALUE(RIGHT(M$34,2)),1,1,68))=0,"None",SQRT(SUM((OFFSET(Factors,VALUE(RIGHT(M$34,2)),1,1,68)-$R95:$CG95)^2)))</f>
        <v>None</v>
      </c>
      <c r="N95" s="10" t="str">
        <f t="array" aca="1" ref="N95" ca="1">IF(SUM(OFFSET(Factors,VALUE(RIGHT(N$34,2)),1,1,68))=0,"None",SQRT(SUM((OFFSET(Factors,VALUE(RIGHT(N$34,2)),1,1,68)-$R95:$CG95)^2)))</f>
        <v>None</v>
      </c>
      <c r="O95" s="10" t="str">
        <f t="array" aca="1" ref="O95" ca="1">IF(SUM(OFFSET(Factors,VALUE(RIGHT(O$34,2)),1,1,68))=0,"None",SQRT(SUM((OFFSET(Factors,VALUE(RIGHT(O$34,2)),1,1,68)-$R95:$CG95)^2)))</f>
        <v>None</v>
      </c>
      <c r="Q95" s="10" t="s">
        <v>31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1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1</v>
      </c>
      <c r="AH95" s="11">
        <v>0</v>
      </c>
      <c r="AI95" s="11">
        <v>0</v>
      </c>
      <c r="AJ95" s="11">
        <v>0</v>
      </c>
      <c r="AK95" s="11">
        <v>1</v>
      </c>
      <c r="AL95" s="11">
        <v>0</v>
      </c>
      <c r="AM95" s="11">
        <v>0</v>
      </c>
      <c r="AN95" s="11">
        <v>1</v>
      </c>
      <c r="AO95" s="11">
        <v>1</v>
      </c>
      <c r="AP95" s="11">
        <v>0</v>
      </c>
      <c r="AQ95" s="11">
        <v>0</v>
      </c>
      <c r="AR95" s="11">
        <v>0</v>
      </c>
      <c r="AS95" s="11">
        <v>0</v>
      </c>
      <c r="AT95" s="11">
        <v>1</v>
      </c>
      <c r="AU95" s="11">
        <v>1</v>
      </c>
      <c r="AV95" s="11">
        <v>0</v>
      </c>
      <c r="AW95" s="11">
        <v>0</v>
      </c>
      <c r="AX95" s="11">
        <v>0</v>
      </c>
      <c r="AY95" s="11">
        <v>1</v>
      </c>
      <c r="AZ95" s="11">
        <v>0</v>
      </c>
      <c r="BA95" s="11">
        <v>1</v>
      </c>
      <c r="BB95" s="11">
        <v>0</v>
      </c>
      <c r="BC95" s="11">
        <v>0</v>
      </c>
      <c r="BD95" s="11">
        <v>0</v>
      </c>
      <c r="BE95" s="11">
        <v>0</v>
      </c>
      <c r="BF95" s="11">
        <v>0</v>
      </c>
      <c r="BG95" s="11">
        <v>0</v>
      </c>
      <c r="BH95" s="11">
        <v>0</v>
      </c>
      <c r="BI95" s="11">
        <v>1</v>
      </c>
      <c r="BJ95" s="11">
        <v>0</v>
      </c>
      <c r="BK95" s="11">
        <v>0</v>
      </c>
      <c r="BL95" s="11">
        <v>0</v>
      </c>
      <c r="BM95" s="11">
        <v>1</v>
      </c>
      <c r="BN95" s="11">
        <v>0</v>
      </c>
      <c r="BO95" s="11">
        <v>0</v>
      </c>
      <c r="BP95" s="11">
        <v>1</v>
      </c>
      <c r="BQ95" s="11">
        <v>0</v>
      </c>
      <c r="BR95" s="11">
        <v>1</v>
      </c>
      <c r="BS95" s="11">
        <v>0</v>
      </c>
      <c r="BT95" s="11">
        <v>0</v>
      </c>
      <c r="BU95" s="11">
        <v>0</v>
      </c>
      <c r="BV95" s="11">
        <v>0</v>
      </c>
      <c r="BW95" s="11">
        <v>0</v>
      </c>
      <c r="BX95" s="11">
        <v>1</v>
      </c>
      <c r="BY95" s="11">
        <v>0</v>
      </c>
      <c r="BZ95" s="11">
        <v>0</v>
      </c>
      <c r="CA95" s="11">
        <v>0</v>
      </c>
      <c r="CB95" s="11">
        <v>1</v>
      </c>
      <c r="CC95" s="11">
        <v>0</v>
      </c>
      <c r="CD95" s="11">
        <v>0</v>
      </c>
      <c r="CE95" s="11">
        <v>0</v>
      </c>
      <c r="CF95" s="11">
        <v>0</v>
      </c>
      <c r="CG95" s="11">
        <v>0</v>
      </c>
      <c r="CH95" s="11">
        <f ca="1">E95</f>
        <v>3</v>
      </c>
    </row>
    <row r="96" spans="4:86" x14ac:dyDescent="0.3">
      <c r="D96" s="11">
        <v>2</v>
      </c>
      <c r="E96" s="11">
        <f t="shared" ca="1" si="14"/>
        <v>3</v>
      </c>
      <c r="F96" s="10">
        <f t="array" aca="1" ref="F96" ca="1">IF(SUM(OFFSET(Factors,VALUE(RIGHT(F$34,2)),1,1,68))=0,"None",SQRT(SUM((OFFSET(Factors,VALUE(RIGHT(F$34,2)),1,1,68)-$R96:$CG96)^2)))</f>
        <v>3.0376686052885291</v>
      </c>
      <c r="G96" s="10">
        <f t="array" aca="1" ref="G96" ca="1">IF(SUM(OFFSET(Factors,VALUE(RIGHT(G$34,2)),1,1,68))=0,"None",SQRT(SUM((OFFSET(Factors,VALUE(RIGHT(G$34,2)),1,1,68)-$R96:$CG96)^2)))</f>
        <v>3.1800040936299063</v>
      </c>
      <c r="H96" s="10">
        <f t="array" aca="1" ref="H96" ca="1">IF(SUM(OFFSET(Factors,VALUE(RIGHT(H$34,2)),1,1,68))=0,"None",SQRT(SUM((OFFSET(Factors,VALUE(RIGHT(H$34,2)),1,1,68)-$R96:$CG96)^2)))</f>
        <v>2.7634540344814931</v>
      </c>
      <c r="I96" s="10">
        <f t="array" aca="1" ref="I96" ca="1">IF(SUM(OFFSET(Factors,VALUE(RIGHT(I$34,2)),1,1,68))=0,"None",SQRT(SUM((OFFSET(Factors,VALUE(RIGHT(I$34,2)),1,1,68)-$R96:$CG96)^2)))</f>
        <v>3.2298325315437313</v>
      </c>
      <c r="J96" s="10">
        <f t="array" aca="1" ref="J96" ca="1">IF(SUM(OFFSET(Factors,VALUE(RIGHT(J$34,2)),1,1,68))=0,"None",SQRT(SUM((OFFSET(Factors,VALUE(RIGHT(J$34,2)),1,1,68)-$R96:$CG96)^2)))</f>
        <v>3.0899029110960754</v>
      </c>
      <c r="K96" s="10" t="str">
        <f t="array" aca="1" ref="K96" ca="1">IF(SUM(OFFSET(Factors,VALUE(RIGHT(K$34,2)),1,1,68))=0,"None",SQRT(SUM((OFFSET(Factors,VALUE(RIGHT(K$34,2)),1,1,68)-$R96:$CG96)^2)))</f>
        <v>None</v>
      </c>
      <c r="L96" s="10" t="str">
        <f t="array" aca="1" ref="L96" ca="1">IF(SUM(OFFSET(Factors,VALUE(RIGHT(L$34,2)),1,1,68))=0,"None",SQRT(SUM((OFFSET(Factors,VALUE(RIGHT(L$34,2)),1,1,68)-$R96:$CG96)^2)))</f>
        <v>None</v>
      </c>
      <c r="M96" s="10" t="str">
        <f t="array" aca="1" ref="M96" ca="1">IF(SUM(OFFSET(Factors,VALUE(RIGHT(M$34,2)),1,1,68))=0,"None",SQRT(SUM((OFFSET(Factors,VALUE(RIGHT(M$34,2)),1,1,68)-$R96:$CG96)^2)))</f>
        <v>None</v>
      </c>
      <c r="N96" s="10" t="str">
        <f t="array" aca="1" ref="N96" ca="1">IF(SUM(OFFSET(Factors,VALUE(RIGHT(N$34,2)),1,1,68))=0,"None",SQRT(SUM((OFFSET(Factors,VALUE(RIGHT(N$34,2)),1,1,68)-$R96:$CG96)^2)))</f>
        <v>None</v>
      </c>
      <c r="O96" s="10" t="str">
        <f t="array" aca="1" ref="O96" ca="1">IF(SUM(OFFSET(Factors,VALUE(RIGHT(O$34,2)),1,1,68))=0,"None",SQRT(SUM((OFFSET(Factors,VALUE(RIGHT(O$34,2)),1,1,68)-$R96:$CG96)^2)))</f>
        <v>None</v>
      </c>
      <c r="Q96" s="10" t="s">
        <v>30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1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11">
        <v>1</v>
      </c>
      <c r="AO96" s="11">
        <v>1</v>
      </c>
      <c r="AP96" s="11">
        <v>0</v>
      </c>
      <c r="AQ96" s="11">
        <v>0</v>
      </c>
      <c r="AR96" s="11">
        <v>0</v>
      </c>
      <c r="AS96" s="11">
        <v>1</v>
      </c>
      <c r="AT96" s="11">
        <v>0</v>
      </c>
      <c r="AU96" s="11">
        <v>0</v>
      </c>
      <c r="AV96" s="11">
        <v>0</v>
      </c>
      <c r="AW96" s="11">
        <v>0</v>
      </c>
      <c r="AX96" s="11">
        <v>0</v>
      </c>
      <c r="AY96" s="11">
        <v>1</v>
      </c>
      <c r="AZ96" s="11">
        <v>0</v>
      </c>
      <c r="BA96" s="11">
        <v>0</v>
      </c>
      <c r="BB96" s="11">
        <v>0</v>
      </c>
      <c r="BC96" s="11">
        <v>0</v>
      </c>
      <c r="BD96" s="11">
        <v>0</v>
      </c>
      <c r="BE96" s="11">
        <v>0</v>
      </c>
      <c r="BF96" s="11">
        <v>0</v>
      </c>
      <c r="BG96" s="11">
        <v>0</v>
      </c>
      <c r="BH96" s="11">
        <v>0</v>
      </c>
      <c r="BI96" s="11">
        <v>0</v>
      </c>
      <c r="BJ96" s="11">
        <v>0</v>
      </c>
      <c r="BK96" s="11">
        <v>0</v>
      </c>
      <c r="BL96" s="11">
        <v>1</v>
      </c>
      <c r="BM96" s="11">
        <v>1</v>
      </c>
      <c r="BN96" s="11">
        <v>0</v>
      </c>
      <c r="BO96" s="11">
        <v>1</v>
      </c>
      <c r="BP96" s="11">
        <v>1</v>
      </c>
      <c r="BQ96" s="11">
        <v>0</v>
      </c>
      <c r="BR96" s="11">
        <v>0</v>
      </c>
      <c r="BS96" s="11">
        <v>0</v>
      </c>
      <c r="BT96" s="11">
        <v>0</v>
      </c>
      <c r="BU96" s="11">
        <v>0</v>
      </c>
      <c r="BV96" s="11">
        <v>0</v>
      </c>
      <c r="BW96" s="11">
        <v>0</v>
      </c>
      <c r="BX96" s="11">
        <v>0</v>
      </c>
      <c r="BY96" s="11">
        <v>0</v>
      </c>
      <c r="BZ96" s="11">
        <v>0</v>
      </c>
      <c r="CA96" s="11">
        <v>0</v>
      </c>
      <c r="CB96" s="11">
        <v>0</v>
      </c>
      <c r="CC96" s="11">
        <v>0</v>
      </c>
      <c r="CD96" s="11">
        <v>0</v>
      </c>
      <c r="CE96" s="11">
        <v>0</v>
      </c>
      <c r="CF96" s="11">
        <v>0</v>
      </c>
      <c r="CG96" s="11">
        <v>0</v>
      </c>
      <c r="CH96" s="11">
        <f ca="1">E96</f>
        <v>3</v>
      </c>
    </row>
    <row r="97" spans="4:86" x14ac:dyDescent="0.3">
      <c r="D97" s="11">
        <v>5</v>
      </c>
      <c r="E97" s="11">
        <f t="shared" ca="1" si="14"/>
        <v>3</v>
      </c>
      <c r="F97" s="10">
        <f t="array" aca="1" ref="F97" ca="1">IF(SUM(OFFSET(Factors,VALUE(RIGHT(F$34,2)),1,1,68))=0,"None",SQRT(SUM((OFFSET(Factors,VALUE(RIGHT(F$34,2)),1,1,68)-$R97:$CG97)^2)))</f>
        <v>3.544116799555129</v>
      </c>
      <c r="G97" s="10">
        <f t="array" aca="1" ref="G97" ca="1">IF(SUM(OFFSET(Factors,VALUE(RIGHT(G$34,2)),1,1,68))=0,"None",SQRT(SUM((OFFSET(Factors,VALUE(RIGHT(G$34,2)),1,1,68)-$R97:$CG97)^2)))</f>
        <v>3.1800040936299059</v>
      </c>
      <c r="H97" s="10">
        <f t="array" aca="1" ref="H97" ca="1">IF(SUM(OFFSET(Factors,VALUE(RIGHT(H$34,2)),1,1,68))=0,"None",SQRT(SUM((OFFSET(Factors,VALUE(RIGHT(H$34,2)),1,1,68)-$R97:$CG97)^2)))</f>
        <v>2.9086436035473215</v>
      </c>
      <c r="I97" s="10">
        <f t="array" aca="1" ref="I97" ca="1">IF(SUM(OFFSET(Factors,VALUE(RIGHT(I$34,2)),1,1,68))=0,"None",SQRT(SUM((OFFSET(Factors,VALUE(RIGHT(I$34,2)),1,1,68)-$R97:$CG97)^2)))</f>
        <v>3.3541019662496852</v>
      </c>
      <c r="J97" s="10">
        <f t="array" aca="1" ref="J97" ca="1">IF(SUM(OFFSET(Factors,VALUE(RIGHT(J$34,2)),1,1,68))=0,"None",SQRT(SUM((OFFSET(Factors,VALUE(RIGHT(J$34,2)),1,1,68)-$R97:$CG97)^2)))</f>
        <v>3.6121323342314029</v>
      </c>
      <c r="K97" s="10" t="str">
        <f t="array" aca="1" ref="K97" ca="1">IF(SUM(OFFSET(Factors,VALUE(RIGHT(K$34,2)),1,1,68))=0,"None",SQRT(SUM((OFFSET(Factors,VALUE(RIGHT(K$34,2)),1,1,68)-$R97:$CG97)^2)))</f>
        <v>None</v>
      </c>
      <c r="L97" s="10" t="str">
        <f t="array" aca="1" ref="L97" ca="1">IF(SUM(OFFSET(Factors,VALUE(RIGHT(L$34,2)),1,1,68))=0,"None",SQRT(SUM((OFFSET(Factors,VALUE(RIGHT(L$34,2)),1,1,68)-$R97:$CG97)^2)))</f>
        <v>None</v>
      </c>
      <c r="M97" s="10" t="str">
        <f t="array" aca="1" ref="M97" ca="1">IF(SUM(OFFSET(Factors,VALUE(RIGHT(M$34,2)),1,1,68))=0,"None",SQRT(SUM((OFFSET(Factors,VALUE(RIGHT(M$34,2)),1,1,68)-$R97:$CG97)^2)))</f>
        <v>None</v>
      </c>
      <c r="N97" s="10" t="str">
        <f t="array" aca="1" ref="N97" ca="1">IF(SUM(OFFSET(Factors,VALUE(RIGHT(N$34,2)),1,1,68))=0,"None",SQRT(SUM((OFFSET(Factors,VALUE(RIGHT(N$34,2)),1,1,68)-$R97:$CG97)^2)))</f>
        <v>None</v>
      </c>
      <c r="O97" s="10" t="str">
        <f t="array" aca="1" ref="O97" ca="1">IF(SUM(OFFSET(Factors,VALUE(RIGHT(O$34,2)),1,1,68))=0,"None",SQRT(SUM((OFFSET(Factors,VALUE(RIGHT(O$34,2)),1,1,68)-$R97:$CG97)^2)))</f>
        <v>None</v>
      </c>
      <c r="Q97" s="10" t="s">
        <v>17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1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1</v>
      </c>
      <c r="AK97" s="11">
        <v>1</v>
      </c>
      <c r="AL97" s="11">
        <v>0</v>
      </c>
      <c r="AM97" s="11">
        <v>0</v>
      </c>
      <c r="AN97" s="11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1">
        <v>0</v>
      </c>
      <c r="AV97" s="11">
        <v>0</v>
      </c>
      <c r="AW97" s="11">
        <v>1</v>
      </c>
      <c r="AX97" s="11">
        <v>1</v>
      </c>
      <c r="AY97" s="11">
        <v>0</v>
      </c>
      <c r="AZ97" s="11">
        <v>0</v>
      </c>
      <c r="BA97" s="11">
        <v>0</v>
      </c>
      <c r="BB97" s="11">
        <v>0</v>
      </c>
      <c r="BC97" s="11">
        <v>0</v>
      </c>
      <c r="BD97" s="11">
        <v>0</v>
      </c>
      <c r="BE97" s="11">
        <v>1</v>
      </c>
      <c r="BF97" s="11">
        <v>0</v>
      </c>
      <c r="BG97" s="11">
        <v>0</v>
      </c>
      <c r="BH97" s="11">
        <v>0</v>
      </c>
      <c r="BI97" s="11">
        <v>0</v>
      </c>
      <c r="BJ97" s="11">
        <v>1</v>
      </c>
      <c r="BK97" s="11">
        <v>1</v>
      </c>
      <c r="BL97" s="11">
        <v>0</v>
      </c>
      <c r="BM97" s="11">
        <v>1</v>
      </c>
      <c r="BN97" s="11">
        <v>0</v>
      </c>
      <c r="BO97" s="11">
        <v>0</v>
      </c>
      <c r="BP97" s="11">
        <v>0</v>
      </c>
      <c r="BQ97" s="11">
        <v>1</v>
      </c>
      <c r="BR97" s="11">
        <v>0</v>
      </c>
      <c r="BS97" s="11">
        <v>0</v>
      </c>
      <c r="BT97" s="11">
        <v>0</v>
      </c>
      <c r="BU97" s="11">
        <v>0</v>
      </c>
      <c r="BV97" s="11">
        <v>0</v>
      </c>
      <c r="BW97" s="11">
        <v>0</v>
      </c>
      <c r="BX97" s="11">
        <v>0</v>
      </c>
      <c r="BY97" s="11">
        <v>0</v>
      </c>
      <c r="BZ97" s="11">
        <v>0</v>
      </c>
      <c r="CA97" s="11">
        <v>0</v>
      </c>
      <c r="CB97" s="11">
        <v>1</v>
      </c>
      <c r="CC97" s="11">
        <v>0</v>
      </c>
      <c r="CD97" s="11">
        <v>0</v>
      </c>
      <c r="CE97" s="11">
        <v>1</v>
      </c>
      <c r="CF97" s="11">
        <v>0</v>
      </c>
      <c r="CG97" s="11">
        <v>0</v>
      </c>
      <c r="CH97" s="11">
        <f ca="1">E97</f>
        <v>3</v>
      </c>
    </row>
    <row r="98" spans="4:86" x14ac:dyDescent="0.3">
      <c r="D98" s="11">
        <v>4</v>
      </c>
      <c r="E98" s="11">
        <f t="shared" ca="1" si="14"/>
        <v>3</v>
      </c>
      <c r="F98" s="10">
        <f t="array" aca="1" ref="F98" ca="1">IF(SUM(OFFSET(Factors,VALUE(RIGHT(F$34,2)),1,1,68))=0,"None",SQRT(SUM((OFFSET(Factors,VALUE(RIGHT(F$34,2)),1,1,68)-$R98:$CG98)^2)))</f>
        <v>3.7497685113735879</v>
      </c>
      <c r="G98" s="10">
        <f t="array" aca="1" ref="G98" ca="1">IF(SUM(OFFSET(Factors,VALUE(RIGHT(G$34,2)),1,1,68))=0,"None",SQRT(SUM((OFFSET(Factors,VALUE(RIGHT(G$34,2)),1,1,68)-$R98:$CG98)^2)))</f>
        <v>3.6211083987507138</v>
      </c>
      <c r="H98" s="10">
        <f t="array" aca="1" ref="H98" ca="1">IF(SUM(OFFSET(Factors,VALUE(RIGHT(H$34,2)),1,1,68))=0,"None",SQRT(SUM((OFFSET(Factors,VALUE(RIGHT(H$34,2)),1,1,68)-$R98:$CG98)^2)))</f>
        <v>3.2159851606674459</v>
      </c>
      <c r="I98" s="10">
        <f t="array" aca="1" ref="I98" ca="1">IF(SUM(OFFSET(Factors,VALUE(RIGHT(I$34,2)),1,1,68))=0,"None",SQRT(SUM((OFFSET(Factors,VALUE(RIGHT(I$34,2)),1,1,68)-$R98:$CG98)^2)))</f>
        <v>3.512963007335701</v>
      </c>
      <c r="J98" s="10">
        <f t="array" aca="1" ref="J98" ca="1">IF(SUM(OFFSET(Factors,VALUE(RIGHT(J$34,2)),1,1,68))=0,"None",SQRT(SUM((OFFSET(Factors,VALUE(RIGHT(J$34,2)),1,1,68)-$R98:$CG98)^2)))</f>
        <v>3.7479994663820326</v>
      </c>
      <c r="K98" s="10" t="str">
        <f t="array" aca="1" ref="K98" ca="1">IF(SUM(OFFSET(Factors,VALUE(RIGHT(K$34,2)),1,1,68))=0,"None",SQRT(SUM((OFFSET(Factors,VALUE(RIGHT(K$34,2)),1,1,68)-$R98:$CG98)^2)))</f>
        <v>None</v>
      </c>
      <c r="L98" s="10" t="str">
        <f t="array" aca="1" ref="L98" ca="1">IF(SUM(OFFSET(Factors,VALUE(RIGHT(L$34,2)),1,1,68))=0,"None",SQRT(SUM((OFFSET(Factors,VALUE(RIGHT(L$34,2)),1,1,68)-$R98:$CG98)^2)))</f>
        <v>None</v>
      </c>
      <c r="M98" s="10" t="str">
        <f t="array" aca="1" ref="M98" ca="1">IF(SUM(OFFSET(Factors,VALUE(RIGHT(M$34,2)),1,1,68))=0,"None",SQRT(SUM((OFFSET(Factors,VALUE(RIGHT(M$34,2)),1,1,68)-$R98:$CG98)^2)))</f>
        <v>None</v>
      </c>
      <c r="N98" s="10" t="str">
        <f t="array" aca="1" ref="N98" ca="1">IF(SUM(OFFSET(Factors,VALUE(RIGHT(N$34,2)),1,1,68))=0,"None",SQRT(SUM((OFFSET(Factors,VALUE(RIGHT(N$34,2)),1,1,68)-$R98:$CG98)^2)))</f>
        <v>None</v>
      </c>
      <c r="O98" s="10" t="str">
        <f t="array" aca="1" ref="O98" ca="1">IF(SUM(OFFSET(Factors,VALUE(RIGHT(O$34,2)),1,1,68))=0,"None",SQRT(SUM((OFFSET(Factors,VALUE(RIGHT(O$34,2)),1,1,68)-$R98:$CG98)^2)))</f>
        <v>None</v>
      </c>
      <c r="Q98" s="10" t="s">
        <v>11</v>
      </c>
      <c r="R98" s="11">
        <v>0</v>
      </c>
      <c r="S98" s="11">
        <v>0</v>
      </c>
      <c r="T98" s="11">
        <v>0</v>
      </c>
      <c r="U98" s="11">
        <v>0</v>
      </c>
      <c r="V98" s="11">
        <v>0</v>
      </c>
      <c r="W98" s="11">
        <v>1</v>
      </c>
      <c r="X98" s="11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1</v>
      </c>
      <c r="AI98" s="11">
        <v>0</v>
      </c>
      <c r="AJ98" s="11">
        <v>1</v>
      </c>
      <c r="AK98" s="11">
        <v>0</v>
      </c>
      <c r="AL98" s="11">
        <v>0</v>
      </c>
      <c r="AM98" s="11">
        <v>0</v>
      </c>
      <c r="AN98" s="11">
        <v>1</v>
      </c>
      <c r="AO98" s="11">
        <v>0</v>
      </c>
      <c r="AP98" s="11">
        <v>0</v>
      </c>
      <c r="AQ98" s="11">
        <v>1</v>
      </c>
      <c r="AR98" s="11">
        <v>0</v>
      </c>
      <c r="AS98" s="11">
        <v>1</v>
      </c>
      <c r="AT98" s="11">
        <v>0</v>
      </c>
      <c r="AU98" s="11">
        <v>1</v>
      </c>
      <c r="AV98" s="11">
        <v>1</v>
      </c>
      <c r="AW98" s="11">
        <v>1</v>
      </c>
      <c r="AX98" s="11">
        <v>0</v>
      </c>
      <c r="AY98" s="11">
        <v>0</v>
      </c>
      <c r="AZ98" s="11">
        <v>0</v>
      </c>
      <c r="BA98" s="11">
        <v>0</v>
      </c>
      <c r="BB98" s="11">
        <v>0</v>
      </c>
      <c r="BC98" s="11">
        <v>0</v>
      </c>
      <c r="BD98" s="11">
        <v>1</v>
      </c>
      <c r="BE98" s="11">
        <v>0</v>
      </c>
      <c r="BF98" s="11">
        <v>0</v>
      </c>
      <c r="BG98" s="11">
        <v>0</v>
      </c>
      <c r="BH98" s="11">
        <v>0</v>
      </c>
      <c r="BI98" s="11">
        <v>0</v>
      </c>
      <c r="BJ98" s="11">
        <v>1</v>
      </c>
      <c r="BK98" s="11">
        <v>0</v>
      </c>
      <c r="BL98" s="11">
        <v>0</v>
      </c>
      <c r="BM98" s="11">
        <v>1</v>
      </c>
      <c r="BN98" s="11">
        <v>0</v>
      </c>
      <c r="BO98" s="11">
        <v>0</v>
      </c>
      <c r="BP98" s="11">
        <v>0</v>
      </c>
      <c r="BQ98" s="11">
        <v>1</v>
      </c>
      <c r="BR98" s="11">
        <v>0</v>
      </c>
      <c r="BS98" s="11">
        <v>0</v>
      </c>
      <c r="BT98" s="11">
        <v>0</v>
      </c>
      <c r="BU98" s="11">
        <v>0</v>
      </c>
      <c r="BV98" s="11">
        <v>0</v>
      </c>
      <c r="BW98" s="11">
        <v>0</v>
      </c>
      <c r="BX98" s="11">
        <v>1</v>
      </c>
      <c r="BY98" s="11">
        <v>1</v>
      </c>
      <c r="BZ98" s="11">
        <v>0</v>
      </c>
      <c r="CA98" s="11">
        <v>0</v>
      </c>
      <c r="CB98" s="11">
        <v>1</v>
      </c>
      <c r="CC98" s="11">
        <v>0</v>
      </c>
      <c r="CD98" s="11">
        <v>0</v>
      </c>
      <c r="CE98" s="11">
        <v>0</v>
      </c>
      <c r="CF98" s="11">
        <v>1</v>
      </c>
      <c r="CG98" s="11">
        <v>0</v>
      </c>
      <c r="CH98" s="11">
        <f ca="1">E98</f>
        <v>3</v>
      </c>
    </row>
    <row r="99" spans="4:86" x14ac:dyDescent="0.3">
      <c r="D99" s="11">
        <v>2</v>
      </c>
      <c r="E99" s="11">
        <f t="shared" ref="E99:E130" ca="1" si="15">MATCH(MIN(F99:O99),F99:O99,0)</f>
        <v>3</v>
      </c>
      <c r="F99" s="10">
        <f t="array" aca="1" ref="F99" ca="1">IF(SUM(OFFSET(Factors,VALUE(RIGHT(F$34,2)),1,1,68))=0,"None",SQRT(SUM((OFFSET(Factors,VALUE(RIGHT(F$34,2)),1,1,68)-$R99:$CG99)^2)))</f>
        <v>3.1980354212477939</v>
      </c>
      <c r="G99" s="10">
        <f t="array" aca="1" ref="G99" ca="1">IF(SUM(OFFSET(Factors,VALUE(RIGHT(G$34,2)),1,1,68))=0,"None",SQRT(SUM((OFFSET(Factors,VALUE(RIGHT(G$34,2)),1,1,68)-$R99:$CG99)^2)))</f>
        <v>3.2041023999474665</v>
      </c>
      <c r="H99" s="10">
        <f t="array" aca="1" ref="H99" ca="1">IF(SUM(OFFSET(Factors,VALUE(RIGHT(H$34,2)),1,1,68))=0,"None",SQRT(SUM((OFFSET(Factors,VALUE(RIGHT(H$34,2)),1,1,68)-$R99:$CG99)^2)))</f>
        <v>2.5647328654813695</v>
      </c>
      <c r="I99" s="10">
        <f t="array" aca="1" ref="I99" ca="1">IF(SUM(OFFSET(Factors,VALUE(RIGHT(I$34,2)),1,1,68))=0,"None",SQRT(SUM((OFFSET(Factors,VALUE(RIGHT(I$34,2)),1,1,68)-$R99:$CG99)^2)))</f>
        <v>3.2578576340344227</v>
      </c>
      <c r="J99" s="10">
        <f t="array" aca="1" ref="J99" ca="1">IF(SUM(OFFSET(Factors,VALUE(RIGHT(J$34,2)),1,1,68))=0,"None",SQRT(SUM((OFFSET(Factors,VALUE(RIGHT(J$34,2)),1,1,68)-$R99:$CG99)^2)))</f>
        <v>3.3087006513131403</v>
      </c>
      <c r="K99" s="10" t="str">
        <f t="array" aca="1" ref="K99" ca="1">IF(SUM(OFFSET(Factors,VALUE(RIGHT(K$34,2)),1,1,68))=0,"None",SQRT(SUM((OFFSET(Factors,VALUE(RIGHT(K$34,2)),1,1,68)-$R99:$CG99)^2)))</f>
        <v>None</v>
      </c>
      <c r="L99" s="10" t="str">
        <f t="array" aca="1" ref="L99" ca="1">IF(SUM(OFFSET(Factors,VALUE(RIGHT(L$34,2)),1,1,68))=0,"None",SQRT(SUM((OFFSET(Factors,VALUE(RIGHT(L$34,2)),1,1,68)-$R99:$CG99)^2)))</f>
        <v>None</v>
      </c>
      <c r="M99" s="10" t="str">
        <f t="array" aca="1" ref="M99" ca="1">IF(SUM(OFFSET(Factors,VALUE(RIGHT(M$34,2)),1,1,68))=0,"None",SQRT(SUM((OFFSET(Factors,VALUE(RIGHT(M$34,2)),1,1,68)-$R99:$CG99)^2)))</f>
        <v>None</v>
      </c>
      <c r="N99" s="10" t="str">
        <f t="array" aca="1" ref="N99" ca="1">IF(SUM(OFFSET(Factors,VALUE(RIGHT(N$34,2)),1,1,68))=0,"None",SQRT(SUM((OFFSET(Factors,VALUE(RIGHT(N$34,2)),1,1,68)-$R99:$CG99)^2)))</f>
        <v>None</v>
      </c>
      <c r="O99" s="10" t="str">
        <f t="array" aca="1" ref="O99" ca="1">IF(SUM(OFFSET(Factors,VALUE(RIGHT(O$34,2)),1,1,68))=0,"None",SQRT(SUM((OFFSET(Factors,VALUE(RIGHT(O$34,2)),1,1,68)-$R99:$CG99)^2)))</f>
        <v>None</v>
      </c>
      <c r="Q99" s="10" t="s">
        <v>10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1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1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1</v>
      </c>
      <c r="AN99" s="11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1</v>
      </c>
      <c r="AT99" s="11">
        <v>0</v>
      </c>
      <c r="AU99" s="11">
        <v>0</v>
      </c>
      <c r="AV99" s="11">
        <v>0</v>
      </c>
      <c r="AW99" s="11">
        <v>0</v>
      </c>
      <c r="AX99" s="11">
        <v>0</v>
      </c>
      <c r="AY99" s="11">
        <v>1</v>
      </c>
      <c r="AZ99" s="11">
        <v>0</v>
      </c>
      <c r="BA99" s="11">
        <v>1</v>
      </c>
      <c r="BB99" s="11">
        <v>0</v>
      </c>
      <c r="BC99" s="11">
        <v>0</v>
      </c>
      <c r="BD99" s="11">
        <v>0</v>
      </c>
      <c r="BE99" s="11">
        <v>0</v>
      </c>
      <c r="BF99" s="11">
        <v>0</v>
      </c>
      <c r="BG99" s="11">
        <v>0</v>
      </c>
      <c r="BH99" s="11">
        <v>0</v>
      </c>
      <c r="BI99" s="11">
        <v>1</v>
      </c>
      <c r="BJ99" s="11">
        <v>0</v>
      </c>
      <c r="BK99" s="11">
        <v>0</v>
      </c>
      <c r="BL99" s="11">
        <v>0</v>
      </c>
      <c r="BM99" s="11">
        <v>0</v>
      </c>
      <c r="BN99" s="11">
        <v>0</v>
      </c>
      <c r="BO99" s="11">
        <v>0</v>
      </c>
      <c r="BP99" s="11">
        <v>0</v>
      </c>
      <c r="BQ99" s="11">
        <v>0</v>
      </c>
      <c r="BR99" s="11">
        <v>1</v>
      </c>
      <c r="BS99" s="11">
        <v>0</v>
      </c>
      <c r="BT99" s="11">
        <v>0</v>
      </c>
      <c r="BU99" s="11">
        <v>0</v>
      </c>
      <c r="BV99" s="11">
        <v>0</v>
      </c>
      <c r="BW99" s="11">
        <v>0</v>
      </c>
      <c r="BX99" s="11">
        <v>0</v>
      </c>
      <c r="BY99" s="11">
        <v>0</v>
      </c>
      <c r="BZ99" s="11">
        <v>0</v>
      </c>
      <c r="CA99" s="11">
        <v>0</v>
      </c>
      <c r="CB99" s="11">
        <v>1</v>
      </c>
      <c r="CC99" s="11">
        <v>0</v>
      </c>
      <c r="CD99" s="11">
        <v>1</v>
      </c>
      <c r="CE99" s="11">
        <v>0</v>
      </c>
      <c r="CF99" s="11">
        <v>0</v>
      </c>
      <c r="CG99" s="11">
        <v>0</v>
      </c>
      <c r="CH99" s="11">
        <f ca="1">E99</f>
        <v>3</v>
      </c>
    </row>
    <row r="100" spans="4:86" x14ac:dyDescent="0.3">
      <c r="D100" s="11">
        <v>1</v>
      </c>
      <c r="E100" s="11">
        <f t="shared" ca="1" si="15"/>
        <v>3</v>
      </c>
      <c r="F100" s="10">
        <f t="array" aca="1" ref="F100" ca="1">IF(SUM(OFFSET(Factors,VALUE(RIGHT(F$34,2)),1,1,68))=0,"None",SQRT(SUM((OFFSET(Factors,VALUE(RIGHT(F$34,2)),1,1,68)-$R100:$CG100)^2)))</f>
        <v>3.5323406624440343</v>
      </c>
      <c r="G100" s="10">
        <f t="array" aca="1" ref="G100" ca="1">IF(SUM(OFFSET(Factors,VALUE(RIGHT(G$34,2)),1,1,68))=0,"None",SQRT(SUM((OFFSET(Factors,VALUE(RIGHT(G$34,2)),1,1,68)-$R100:$CG100)^2)))</f>
        <v>3.5676057308631477</v>
      </c>
      <c r="H100" s="10">
        <f t="array" aca="1" ref="H100" ca="1">IF(SUM(OFFSET(Factors,VALUE(RIGHT(H$34,2)),1,1,68))=0,"None",SQRT(SUM((OFFSET(Factors,VALUE(RIGHT(H$34,2)),1,1,68)-$R100:$CG100)^2)))</f>
        <v>3.0757450499767933</v>
      </c>
      <c r="I100" s="10">
        <f t="array" aca="1" ref="I100" ca="1">IF(SUM(OFFSET(Factors,VALUE(RIGHT(I$34,2)),1,1,68))=0,"None",SQRT(SUM((OFFSET(Factors,VALUE(RIGHT(I$34,2)),1,1,68)-$R100:$CG100)^2)))</f>
        <v>3.5770734610089505</v>
      </c>
      <c r="J100" s="10">
        <f t="array" aca="1" ref="J100" ca="1">IF(SUM(OFFSET(Factors,VALUE(RIGHT(J$34,2)),1,1,68))=0,"None",SQRT(SUM((OFFSET(Factors,VALUE(RIGHT(J$34,2)),1,1,68)-$R100:$CG100)^2)))</f>
        <v>3.2011716605018234</v>
      </c>
      <c r="K100" s="10" t="str">
        <f t="array" aca="1" ref="K100" ca="1">IF(SUM(OFFSET(Factors,VALUE(RIGHT(K$34,2)),1,1,68))=0,"None",SQRT(SUM((OFFSET(Factors,VALUE(RIGHT(K$34,2)),1,1,68)-$R100:$CG100)^2)))</f>
        <v>None</v>
      </c>
      <c r="L100" s="10" t="str">
        <f t="array" aca="1" ref="L100" ca="1">IF(SUM(OFFSET(Factors,VALUE(RIGHT(L$34,2)),1,1,68))=0,"None",SQRT(SUM((OFFSET(Factors,VALUE(RIGHT(L$34,2)),1,1,68)-$R100:$CG100)^2)))</f>
        <v>None</v>
      </c>
      <c r="M100" s="10" t="str">
        <f t="array" aca="1" ref="M100" ca="1">IF(SUM(OFFSET(Factors,VALUE(RIGHT(M$34,2)),1,1,68))=0,"None",SQRT(SUM((OFFSET(Factors,VALUE(RIGHT(M$34,2)),1,1,68)-$R100:$CG100)^2)))</f>
        <v>None</v>
      </c>
      <c r="N100" s="10" t="str">
        <f t="array" aca="1" ref="N100" ca="1">IF(SUM(OFFSET(Factors,VALUE(RIGHT(N$34,2)),1,1,68))=0,"None",SQRT(SUM((OFFSET(Factors,VALUE(RIGHT(N$34,2)),1,1,68)-$R100:$CG100)^2)))</f>
        <v>None</v>
      </c>
      <c r="O100" s="10" t="str">
        <f t="array" aca="1" ref="O100" ca="1">IF(SUM(OFFSET(Factors,VALUE(RIGHT(O$34,2)),1,1,68))=0,"None",SQRT(SUM((OFFSET(Factors,VALUE(RIGHT(O$34,2)),1,1,68)-$R100:$CG100)^2)))</f>
        <v>None</v>
      </c>
      <c r="Q100" s="10" t="s">
        <v>8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1</v>
      </c>
      <c r="AE100" s="11">
        <v>0</v>
      </c>
      <c r="AF100" s="11">
        <v>0</v>
      </c>
      <c r="AG100" s="11">
        <v>1</v>
      </c>
      <c r="AH100" s="11">
        <v>1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11">
        <v>1</v>
      </c>
      <c r="AO100" s="11">
        <v>0</v>
      </c>
      <c r="AP100" s="11">
        <v>0</v>
      </c>
      <c r="AQ100" s="11">
        <v>1</v>
      </c>
      <c r="AR100" s="11">
        <v>0</v>
      </c>
      <c r="AS100" s="11">
        <v>0</v>
      </c>
      <c r="AT100" s="11">
        <v>1</v>
      </c>
      <c r="AU100" s="11">
        <v>0</v>
      </c>
      <c r="AV100" s="11">
        <v>0</v>
      </c>
      <c r="AW100" s="11">
        <v>0</v>
      </c>
      <c r="AX100" s="11">
        <v>0</v>
      </c>
      <c r="AY100" s="11">
        <v>1</v>
      </c>
      <c r="AZ100" s="11">
        <v>0</v>
      </c>
      <c r="BA100" s="11">
        <v>0</v>
      </c>
      <c r="BB100" s="11">
        <v>0</v>
      </c>
      <c r="BC100" s="11">
        <v>1</v>
      </c>
      <c r="BD100" s="11">
        <v>0</v>
      </c>
      <c r="BE100" s="11">
        <v>0</v>
      </c>
      <c r="BF100" s="11">
        <v>0</v>
      </c>
      <c r="BG100" s="11">
        <v>0</v>
      </c>
      <c r="BH100" s="11">
        <v>0</v>
      </c>
      <c r="BI100" s="11">
        <v>1</v>
      </c>
      <c r="BJ100" s="11">
        <v>1</v>
      </c>
      <c r="BK100" s="11">
        <v>1</v>
      </c>
      <c r="BL100" s="11">
        <v>0</v>
      </c>
      <c r="BM100" s="11">
        <v>0</v>
      </c>
      <c r="BN100" s="11">
        <v>0</v>
      </c>
      <c r="BO100" s="11">
        <v>0</v>
      </c>
      <c r="BP100" s="11">
        <v>0</v>
      </c>
      <c r="BQ100" s="11">
        <v>0</v>
      </c>
      <c r="BR100" s="11">
        <v>1</v>
      </c>
      <c r="BS100" s="11">
        <v>0</v>
      </c>
      <c r="BT100" s="11">
        <v>0</v>
      </c>
      <c r="BU100" s="11">
        <v>0</v>
      </c>
      <c r="BV100" s="11">
        <v>0</v>
      </c>
      <c r="BW100" s="11">
        <v>0</v>
      </c>
      <c r="BX100" s="11">
        <v>0</v>
      </c>
      <c r="BY100" s="11">
        <v>0</v>
      </c>
      <c r="BZ100" s="11">
        <v>1</v>
      </c>
      <c r="CA100" s="11">
        <v>0</v>
      </c>
      <c r="CB100" s="11">
        <v>0</v>
      </c>
      <c r="CC100" s="11">
        <v>0</v>
      </c>
      <c r="CD100" s="11">
        <v>0</v>
      </c>
      <c r="CE100" s="11">
        <v>1</v>
      </c>
      <c r="CF100" s="11">
        <v>0</v>
      </c>
      <c r="CG100" s="11">
        <v>0</v>
      </c>
      <c r="CH100" s="11">
        <f ca="1">E100</f>
        <v>3</v>
      </c>
    </row>
    <row r="101" spans="4:86" x14ac:dyDescent="0.3">
      <c r="D101" s="11">
        <v>1</v>
      </c>
      <c r="E101" s="11">
        <f t="shared" ca="1" si="15"/>
        <v>3</v>
      </c>
      <c r="F101" s="10">
        <f t="array" aca="1" ref="F101" ca="1">IF(SUM(OFFSET(Factors,VALUE(RIGHT(F$34,2)),1,1,68))=0,"None",SQRT(SUM((OFFSET(Factors,VALUE(RIGHT(F$34,2)),1,1,68)-$R101:$CG101)^2)))</f>
        <v>2.9400845603863544</v>
      </c>
      <c r="G101" s="10">
        <f t="array" aca="1" ref="G101" ca="1">IF(SUM(OFFSET(Factors,VALUE(RIGHT(G$34,2)),1,1,68))=0,"None",SQRT(SUM((OFFSET(Factors,VALUE(RIGHT(G$34,2)),1,1,68)-$R101:$CG101)^2)))</f>
        <v>3.0692211297323087</v>
      </c>
      <c r="H101" s="10">
        <f t="array" aca="1" ref="H101" ca="1">IF(SUM(OFFSET(Factors,VALUE(RIGHT(H$34,2)),1,1,68))=0,"None",SQRT(SUM((OFFSET(Factors,VALUE(RIGHT(H$34,2)),1,1,68)-$R101:$CG101)^2)))</f>
        <v>2.6988399404598735</v>
      </c>
      <c r="I101" s="10">
        <f t="array" aca="1" ref="I101" ca="1">IF(SUM(OFFSET(Factors,VALUE(RIGHT(I$34,2)),1,1,68))=0,"None",SQRT(SUM((OFFSET(Factors,VALUE(RIGHT(I$34,2)),1,1,68)-$R101:$CG101)^2)))</f>
        <v>2.934899719519624</v>
      </c>
      <c r="J101" s="10">
        <f t="array" aca="1" ref="J101" ca="1">IF(SUM(OFFSET(Factors,VALUE(RIGHT(J$34,2)),1,1,68))=0,"None",SQRT(SUM((OFFSET(Factors,VALUE(RIGHT(J$34,2)),1,1,68)-$R101:$CG101)^2)))</f>
        <v>3.0573681492420897</v>
      </c>
      <c r="K101" s="10" t="str">
        <f t="array" aca="1" ref="K101" ca="1">IF(SUM(OFFSET(Factors,VALUE(RIGHT(K$34,2)),1,1,68))=0,"None",SQRT(SUM((OFFSET(Factors,VALUE(RIGHT(K$34,2)),1,1,68)-$R101:$CG101)^2)))</f>
        <v>None</v>
      </c>
      <c r="L101" s="10" t="str">
        <f t="array" aca="1" ref="L101" ca="1">IF(SUM(OFFSET(Factors,VALUE(RIGHT(L$34,2)),1,1,68))=0,"None",SQRT(SUM((OFFSET(Factors,VALUE(RIGHT(L$34,2)),1,1,68)-$R101:$CG101)^2)))</f>
        <v>None</v>
      </c>
      <c r="M101" s="10" t="str">
        <f t="array" aca="1" ref="M101" ca="1">IF(SUM(OFFSET(Factors,VALUE(RIGHT(M$34,2)),1,1,68))=0,"None",SQRT(SUM((OFFSET(Factors,VALUE(RIGHT(M$34,2)),1,1,68)-$R101:$CG101)^2)))</f>
        <v>None</v>
      </c>
      <c r="N101" s="10" t="str">
        <f t="array" aca="1" ref="N101" ca="1">IF(SUM(OFFSET(Factors,VALUE(RIGHT(N$34,2)),1,1,68))=0,"None",SQRT(SUM((OFFSET(Factors,VALUE(RIGHT(N$34,2)),1,1,68)-$R101:$CG101)^2)))</f>
        <v>None</v>
      </c>
      <c r="O101" s="10" t="str">
        <f t="array" aca="1" ref="O101" ca="1">IF(SUM(OFFSET(Factors,VALUE(RIGHT(O$34,2)),1,1,68))=0,"None",SQRT(SUM((OFFSET(Factors,VALUE(RIGHT(O$34,2)),1,1,68)-$R101:$CG101)^2)))</f>
        <v>None</v>
      </c>
      <c r="Q101" s="10" t="s">
        <v>7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1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1</v>
      </c>
      <c r="AH101" s="11">
        <v>1</v>
      </c>
      <c r="AI101" s="11">
        <v>1</v>
      </c>
      <c r="AJ101" s="11">
        <v>0</v>
      </c>
      <c r="AK101" s="11">
        <v>0</v>
      </c>
      <c r="AL101" s="11">
        <v>0</v>
      </c>
      <c r="AM101" s="11">
        <v>0</v>
      </c>
      <c r="AN101" s="11">
        <v>0</v>
      </c>
      <c r="AO101" s="11">
        <v>1</v>
      </c>
      <c r="AP101" s="11">
        <v>0</v>
      </c>
      <c r="AQ101" s="11">
        <v>0</v>
      </c>
      <c r="AR101" s="11">
        <v>0</v>
      </c>
      <c r="AS101" s="11">
        <v>1</v>
      </c>
      <c r="AT101" s="11">
        <v>0</v>
      </c>
      <c r="AU101" s="11">
        <v>1</v>
      </c>
      <c r="AV101" s="11">
        <v>0</v>
      </c>
      <c r="AW101" s="11">
        <v>1</v>
      </c>
      <c r="AX101" s="11">
        <v>0</v>
      </c>
      <c r="AY101" s="11">
        <v>0</v>
      </c>
      <c r="AZ101" s="11">
        <v>0</v>
      </c>
      <c r="BA101" s="11">
        <v>0</v>
      </c>
      <c r="BB101" s="11">
        <v>0</v>
      </c>
      <c r="BC101" s="11">
        <v>0</v>
      </c>
      <c r="BD101" s="11">
        <v>0</v>
      </c>
      <c r="BE101" s="11">
        <v>0</v>
      </c>
      <c r="BF101" s="11">
        <v>0</v>
      </c>
      <c r="BG101" s="11">
        <v>0</v>
      </c>
      <c r="BH101" s="11">
        <v>0</v>
      </c>
      <c r="BI101" s="11">
        <v>0</v>
      </c>
      <c r="BJ101" s="11">
        <v>1</v>
      </c>
      <c r="BK101" s="11">
        <v>0</v>
      </c>
      <c r="BL101" s="11">
        <v>0</v>
      </c>
      <c r="BM101" s="11">
        <v>0</v>
      </c>
      <c r="BN101" s="11">
        <v>1</v>
      </c>
      <c r="BO101" s="11">
        <v>1</v>
      </c>
      <c r="BP101" s="11">
        <v>0</v>
      </c>
      <c r="BQ101" s="11">
        <v>0</v>
      </c>
      <c r="BR101" s="11">
        <v>0</v>
      </c>
      <c r="BS101" s="11">
        <v>0</v>
      </c>
      <c r="BT101" s="11">
        <v>0</v>
      </c>
      <c r="BU101" s="11">
        <v>0</v>
      </c>
      <c r="BV101" s="11">
        <v>0</v>
      </c>
      <c r="BW101" s="11">
        <v>0</v>
      </c>
      <c r="BX101" s="11">
        <v>0</v>
      </c>
      <c r="BY101" s="11">
        <v>0</v>
      </c>
      <c r="BZ101" s="11">
        <v>0</v>
      </c>
      <c r="CA101" s="11">
        <v>0</v>
      </c>
      <c r="CB101" s="11">
        <v>0</v>
      </c>
      <c r="CC101" s="11">
        <v>0</v>
      </c>
      <c r="CD101" s="11">
        <v>0</v>
      </c>
      <c r="CE101" s="11">
        <v>0</v>
      </c>
      <c r="CF101" s="11">
        <v>0</v>
      </c>
      <c r="CG101" s="11">
        <v>0</v>
      </c>
      <c r="CH101" s="11">
        <f ca="1">E101</f>
        <v>3</v>
      </c>
    </row>
    <row r="102" spans="4:86" x14ac:dyDescent="0.3">
      <c r="D102" s="11">
        <v>5</v>
      </c>
      <c r="E102" s="11">
        <f t="shared" ca="1" si="15"/>
        <v>4</v>
      </c>
      <c r="F102" s="10">
        <f t="array" aca="1" ref="F102" ca="1">IF(SUM(OFFSET(Factors,VALUE(RIGHT(F$34,2)),1,1,68))=0,"None",SQRT(SUM((OFFSET(Factors,VALUE(RIGHT(F$34,2)),1,1,68)-$R102:$CG102)^2)))</f>
        <v>2.9400845603863544</v>
      </c>
      <c r="G102" s="10">
        <f t="array" aca="1" ref="G102" ca="1">IF(SUM(OFFSET(Factors,VALUE(RIGHT(G$34,2)),1,1,68))=0,"None",SQRT(SUM((OFFSET(Factors,VALUE(RIGHT(G$34,2)),1,1,68)-$R102:$CG102)^2)))</f>
        <v>2.8482320894728645</v>
      </c>
      <c r="H102" s="10">
        <f t="array" aca="1" ref="H102" ca="1">IF(SUM(OFFSET(Factors,VALUE(RIGHT(H$34,2)),1,1,68))=0,"None",SQRT(SUM((OFFSET(Factors,VALUE(RIGHT(H$34,2)),1,1,68)-$R102:$CG102)^2)))</f>
        <v>3.2793787917097306</v>
      </c>
      <c r="I102" s="10">
        <f t="array" aca="1" ref="I102" ca="1">IF(SUM(OFFSET(Factors,VALUE(RIGHT(I$34,2)),1,1,68))=0,"None",SQRT(SUM((OFFSET(Factors,VALUE(RIGHT(I$34,2)),1,1,68)-$R102:$CG102)^2)))</f>
        <v>2.7261361267952453</v>
      </c>
      <c r="J102" s="10">
        <f t="array" aca="1" ref="J102" ca="1">IF(SUM(OFFSET(Factors,VALUE(RIGHT(J$34,2)),1,1,68))=0,"None",SQRT(SUM((OFFSET(Factors,VALUE(RIGHT(J$34,2)),1,1,68)-$R102:$CG102)^2)))</f>
        <v>3.1220986531498331</v>
      </c>
      <c r="K102" s="10" t="str">
        <f t="array" aca="1" ref="K102" ca="1">IF(SUM(OFFSET(Factors,VALUE(RIGHT(K$34,2)),1,1,68))=0,"None",SQRT(SUM((OFFSET(Factors,VALUE(RIGHT(K$34,2)),1,1,68)-$R102:$CG102)^2)))</f>
        <v>None</v>
      </c>
      <c r="L102" s="10" t="str">
        <f t="array" aca="1" ref="L102" ca="1">IF(SUM(OFFSET(Factors,VALUE(RIGHT(L$34,2)),1,1,68))=0,"None",SQRT(SUM((OFFSET(Factors,VALUE(RIGHT(L$34,2)),1,1,68)-$R102:$CG102)^2)))</f>
        <v>None</v>
      </c>
      <c r="M102" s="10" t="str">
        <f t="array" aca="1" ref="M102" ca="1">IF(SUM(OFFSET(Factors,VALUE(RIGHT(M$34,2)),1,1,68))=0,"None",SQRT(SUM((OFFSET(Factors,VALUE(RIGHT(M$34,2)),1,1,68)-$R102:$CG102)^2)))</f>
        <v>None</v>
      </c>
      <c r="N102" s="10" t="str">
        <f t="array" aca="1" ref="N102" ca="1">IF(SUM(OFFSET(Factors,VALUE(RIGHT(N$34,2)),1,1,68))=0,"None",SQRT(SUM((OFFSET(Factors,VALUE(RIGHT(N$34,2)),1,1,68)-$R102:$CG102)^2)))</f>
        <v>None</v>
      </c>
      <c r="O102" s="10" t="str">
        <f t="array" aca="1" ref="O102" ca="1">IF(SUM(OFFSET(Factors,VALUE(RIGHT(O$34,2)),1,1,68))=0,"None",SQRT(SUM((OFFSET(Factors,VALUE(RIGHT(O$34,2)),1,1,68)-$R102:$CG102)^2)))</f>
        <v>None</v>
      </c>
      <c r="Q102" s="10" t="s">
        <v>102</v>
      </c>
      <c r="R102" s="11">
        <v>1</v>
      </c>
      <c r="S102" s="11">
        <v>0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1</v>
      </c>
      <c r="AK102" s="11">
        <v>0</v>
      </c>
      <c r="AL102" s="11">
        <v>1</v>
      </c>
      <c r="AM102" s="11">
        <v>0</v>
      </c>
      <c r="AN102" s="11">
        <v>0</v>
      </c>
      <c r="AO102" s="11">
        <v>0</v>
      </c>
      <c r="AP102" s="11">
        <v>0</v>
      </c>
      <c r="AQ102" s="11">
        <v>0</v>
      </c>
      <c r="AR102" s="11">
        <v>0</v>
      </c>
      <c r="AS102" s="11">
        <v>0</v>
      </c>
      <c r="AT102" s="11">
        <v>0</v>
      </c>
      <c r="AU102" s="11">
        <v>0</v>
      </c>
      <c r="AV102" s="11">
        <v>0</v>
      </c>
      <c r="AW102" s="11">
        <v>1</v>
      </c>
      <c r="AX102" s="11">
        <v>0</v>
      </c>
      <c r="AY102" s="11">
        <v>0</v>
      </c>
      <c r="AZ102" s="11">
        <v>0</v>
      </c>
      <c r="BA102" s="11">
        <v>0</v>
      </c>
      <c r="BB102" s="11">
        <v>0</v>
      </c>
      <c r="BC102" s="11">
        <v>0</v>
      </c>
      <c r="BD102" s="11">
        <v>0</v>
      </c>
      <c r="BE102" s="11">
        <v>0</v>
      </c>
      <c r="BF102" s="11">
        <v>0</v>
      </c>
      <c r="BG102" s="11">
        <v>1</v>
      </c>
      <c r="BH102" s="11">
        <v>0</v>
      </c>
      <c r="BI102" s="11">
        <v>0</v>
      </c>
      <c r="BJ102" s="11">
        <v>1</v>
      </c>
      <c r="BK102" s="11">
        <v>1</v>
      </c>
      <c r="BL102" s="11">
        <v>0</v>
      </c>
      <c r="BM102" s="11">
        <v>0</v>
      </c>
      <c r="BN102" s="11">
        <v>0</v>
      </c>
      <c r="BO102" s="11">
        <v>0</v>
      </c>
      <c r="BP102" s="11">
        <v>1</v>
      </c>
      <c r="BQ102" s="11">
        <v>0</v>
      </c>
      <c r="BR102" s="11">
        <v>0</v>
      </c>
      <c r="BS102" s="11">
        <v>0</v>
      </c>
      <c r="BT102" s="11">
        <v>0</v>
      </c>
      <c r="BU102" s="11">
        <v>0</v>
      </c>
      <c r="BV102" s="11">
        <v>1</v>
      </c>
      <c r="BW102" s="11">
        <v>0</v>
      </c>
      <c r="BX102" s="11">
        <v>0</v>
      </c>
      <c r="BY102" s="11">
        <v>0</v>
      </c>
      <c r="BZ102" s="11">
        <v>0</v>
      </c>
      <c r="CA102" s="11">
        <v>0</v>
      </c>
      <c r="CB102" s="11">
        <v>0</v>
      </c>
      <c r="CC102" s="11">
        <v>0</v>
      </c>
      <c r="CD102" s="11">
        <v>1</v>
      </c>
      <c r="CE102" s="11">
        <v>0</v>
      </c>
      <c r="CF102" s="11">
        <v>0</v>
      </c>
      <c r="CG102" s="11">
        <v>0</v>
      </c>
      <c r="CH102" s="11">
        <f ca="1">E102</f>
        <v>4</v>
      </c>
    </row>
    <row r="103" spans="4:86" x14ac:dyDescent="0.3">
      <c r="D103" s="11">
        <v>1</v>
      </c>
      <c r="E103" s="11">
        <f t="shared" ca="1" si="15"/>
        <v>4</v>
      </c>
      <c r="F103" s="10">
        <f t="array" aca="1" ref="F103" ca="1">IF(SUM(OFFSET(Factors,VALUE(RIGHT(F$34,2)),1,1,68))=0,"None",SQRT(SUM((OFFSET(Factors,VALUE(RIGHT(F$34,2)),1,1,68)-$R103:$CG103)^2)))</f>
        <v>2.8096436112472025</v>
      </c>
      <c r="G103" s="10">
        <f t="array" aca="1" ref="G103" ca="1">IF(SUM(OFFSET(Factors,VALUE(RIGHT(G$34,2)),1,1,68))=0,"None",SQRT(SUM((OFFSET(Factors,VALUE(RIGHT(G$34,2)),1,1,68)-$R103:$CG103)^2)))</f>
        <v>2.6956023796823434</v>
      </c>
      <c r="H103" s="10">
        <f t="array" aca="1" ref="H103" ca="1">IF(SUM(OFFSET(Factors,VALUE(RIGHT(H$34,2)),1,1,68))=0,"None",SQRT(SUM((OFFSET(Factors,VALUE(RIGHT(H$34,2)),1,1,68)-$R103:$CG103)^2)))</f>
        <v>3.0275551135194751</v>
      </c>
      <c r="I103" s="10">
        <f t="array" aca="1" ref="I103" ca="1">IF(SUM(OFFSET(Factors,VALUE(RIGHT(I$34,2)),1,1,68))=0,"None",SQRT(SUM((OFFSET(Factors,VALUE(RIGHT(I$34,2)),1,1,68)-$R103:$CG103)^2)))</f>
        <v>2.4817515808579449</v>
      </c>
      <c r="J103" s="10">
        <f t="array" aca="1" ref="J103" ca="1">IF(SUM(OFFSET(Factors,VALUE(RIGHT(J$34,2)),1,1,68))=0,"None",SQRT(SUM((OFFSET(Factors,VALUE(RIGHT(J$34,2)),1,1,68)-$R103:$CG103)^2)))</f>
        <v>2.9236107812087431</v>
      </c>
      <c r="K103" s="10" t="str">
        <f t="array" aca="1" ref="K103" ca="1">IF(SUM(OFFSET(Factors,VALUE(RIGHT(K$34,2)),1,1,68))=0,"None",SQRT(SUM((OFFSET(Factors,VALUE(RIGHT(K$34,2)),1,1,68)-$R103:$CG103)^2)))</f>
        <v>None</v>
      </c>
      <c r="L103" s="10" t="str">
        <f t="array" aca="1" ref="L103" ca="1">IF(SUM(OFFSET(Factors,VALUE(RIGHT(L$34,2)),1,1,68))=0,"None",SQRT(SUM((OFFSET(Factors,VALUE(RIGHT(L$34,2)),1,1,68)-$R103:$CG103)^2)))</f>
        <v>None</v>
      </c>
      <c r="M103" s="10" t="str">
        <f t="array" aca="1" ref="M103" ca="1">IF(SUM(OFFSET(Factors,VALUE(RIGHT(M$34,2)),1,1,68))=0,"None",SQRT(SUM((OFFSET(Factors,VALUE(RIGHT(M$34,2)),1,1,68)-$R103:$CG103)^2)))</f>
        <v>None</v>
      </c>
      <c r="N103" s="10" t="str">
        <f t="array" aca="1" ref="N103" ca="1">IF(SUM(OFFSET(Factors,VALUE(RIGHT(N$34,2)),1,1,68))=0,"None",SQRT(SUM((OFFSET(Factors,VALUE(RIGHT(N$34,2)),1,1,68)-$R103:$CG103)^2)))</f>
        <v>None</v>
      </c>
      <c r="O103" s="10" t="str">
        <f t="array" aca="1" ref="O103" ca="1">IF(SUM(OFFSET(Factors,VALUE(RIGHT(O$34,2)),1,1,68))=0,"None",SQRT(SUM((OFFSET(Factors,VALUE(RIGHT(O$34,2)),1,1,68)-$R103:$CG103)^2)))</f>
        <v>None</v>
      </c>
      <c r="Q103" s="10" t="s">
        <v>101</v>
      </c>
      <c r="R103" s="11">
        <v>0</v>
      </c>
      <c r="S103" s="11">
        <v>0</v>
      </c>
      <c r="T103" s="11">
        <v>0</v>
      </c>
      <c r="U103" s="11">
        <v>0</v>
      </c>
      <c r="V103" s="11">
        <v>1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1</v>
      </c>
      <c r="AG103" s="11">
        <v>1</v>
      </c>
      <c r="AH103" s="11">
        <v>1</v>
      </c>
      <c r="AI103" s="11">
        <v>0</v>
      </c>
      <c r="AJ103" s="11">
        <v>0</v>
      </c>
      <c r="AK103" s="11">
        <v>0</v>
      </c>
      <c r="AL103" s="11">
        <v>1</v>
      </c>
      <c r="AM103" s="11">
        <v>1</v>
      </c>
      <c r="AN103" s="11">
        <v>0</v>
      </c>
      <c r="AO103" s="11">
        <v>0</v>
      </c>
      <c r="AP103" s="11">
        <v>0</v>
      </c>
      <c r="AQ103" s="11">
        <v>0</v>
      </c>
      <c r="AR103" s="11">
        <v>1</v>
      </c>
      <c r="AS103" s="11">
        <v>1</v>
      </c>
      <c r="AT103" s="11">
        <v>0</v>
      </c>
      <c r="AU103" s="11">
        <v>0</v>
      </c>
      <c r="AV103" s="11">
        <v>1</v>
      </c>
      <c r="AW103" s="11">
        <v>1</v>
      </c>
      <c r="AX103" s="11">
        <v>0</v>
      </c>
      <c r="AY103" s="11">
        <v>0</v>
      </c>
      <c r="AZ103" s="11">
        <v>0</v>
      </c>
      <c r="BA103" s="11">
        <v>1</v>
      </c>
      <c r="BB103" s="11">
        <v>0</v>
      </c>
      <c r="BC103" s="11">
        <v>0</v>
      </c>
      <c r="BD103" s="11">
        <v>0</v>
      </c>
      <c r="BE103" s="11">
        <v>0</v>
      </c>
      <c r="BF103" s="11">
        <v>0</v>
      </c>
      <c r="BG103" s="11">
        <v>0</v>
      </c>
      <c r="BH103" s="11">
        <v>0</v>
      </c>
      <c r="BI103" s="11">
        <v>0</v>
      </c>
      <c r="BJ103" s="11">
        <v>1</v>
      </c>
      <c r="BK103" s="11">
        <v>0</v>
      </c>
      <c r="BL103" s="11">
        <v>0</v>
      </c>
      <c r="BM103" s="11">
        <v>0</v>
      </c>
      <c r="BN103" s="11">
        <v>0</v>
      </c>
      <c r="BO103" s="11">
        <v>0</v>
      </c>
      <c r="BP103" s="11">
        <v>0</v>
      </c>
      <c r="BQ103" s="11">
        <v>0</v>
      </c>
      <c r="BR103" s="11">
        <v>0</v>
      </c>
      <c r="BS103" s="11">
        <v>0</v>
      </c>
      <c r="BT103" s="11">
        <v>0</v>
      </c>
      <c r="BU103" s="11">
        <v>0</v>
      </c>
      <c r="BV103" s="11">
        <v>0</v>
      </c>
      <c r="BW103" s="11">
        <v>0</v>
      </c>
      <c r="BX103" s="11">
        <v>0</v>
      </c>
      <c r="BY103" s="11">
        <v>0</v>
      </c>
      <c r="BZ103" s="11">
        <v>0</v>
      </c>
      <c r="CA103" s="11">
        <v>0</v>
      </c>
      <c r="CB103" s="11">
        <v>0</v>
      </c>
      <c r="CC103" s="11">
        <v>0</v>
      </c>
      <c r="CD103" s="11">
        <v>0</v>
      </c>
      <c r="CE103" s="11">
        <v>1</v>
      </c>
      <c r="CF103" s="11">
        <v>0</v>
      </c>
      <c r="CG103" s="11">
        <v>0</v>
      </c>
      <c r="CH103" s="11">
        <f ca="1">E103</f>
        <v>4</v>
      </c>
    </row>
    <row r="104" spans="4:86" x14ac:dyDescent="0.3">
      <c r="D104" s="11">
        <v>3</v>
      </c>
      <c r="E104" s="11">
        <f t="shared" ca="1" si="15"/>
        <v>4</v>
      </c>
      <c r="F104" s="10">
        <f t="array" aca="1" ref="F104" ca="1">IF(SUM(OFFSET(Factors,VALUE(RIGHT(F$34,2)),1,1,68))=0,"None",SQRT(SUM((OFFSET(Factors,VALUE(RIGHT(F$34,2)),1,1,68)-$R104:$CG104)^2)))</f>
        <v>2.6097440274649331</v>
      </c>
      <c r="G104" s="10">
        <f t="array" aca="1" ref="G104" ca="1">IF(SUM(OFFSET(Factors,VALUE(RIGHT(G$34,2)),1,1,68))=0,"None",SQRT(SUM((OFFSET(Factors,VALUE(RIGHT(G$34,2)),1,1,68)-$R104:$CG104)^2)))</f>
        <v>2.5639743557690706</v>
      </c>
      <c r="H104" s="10">
        <f t="array" aca="1" ref="H104" ca="1">IF(SUM(OFFSET(Factors,VALUE(RIGHT(H$34,2)),1,1,68))=0,"None",SQRT(SUM((OFFSET(Factors,VALUE(RIGHT(H$34,2)),1,1,68)-$R104:$CG104)^2)))</f>
        <v>2.8161668714319585</v>
      </c>
      <c r="I104" s="10">
        <f t="array" aca="1" ref="I104" ca="1">IF(SUM(OFFSET(Factors,VALUE(RIGHT(I$34,2)),1,1,68))=0,"None",SQRT(SUM((OFFSET(Factors,VALUE(RIGHT(I$34,2)),1,1,68)-$R104:$CG104)^2)))</f>
        <v>2.4073750321573382</v>
      </c>
      <c r="J104" s="10">
        <f t="array" aca="1" ref="J104" ca="1">IF(SUM(OFFSET(Factors,VALUE(RIGHT(J$34,2)),1,1,68))=0,"None",SQRT(SUM((OFFSET(Factors,VALUE(RIGHT(J$34,2)),1,1,68)-$R104:$CG104)^2)))</f>
        <v>2.9236107812087431</v>
      </c>
      <c r="K104" s="10" t="str">
        <f t="array" aca="1" ref="K104" ca="1">IF(SUM(OFFSET(Factors,VALUE(RIGHT(K$34,2)),1,1,68))=0,"None",SQRT(SUM((OFFSET(Factors,VALUE(RIGHT(K$34,2)),1,1,68)-$R104:$CG104)^2)))</f>
        <v>None</v>
      </c>
      <c r="L104" s="10" t="str">
        <f t="array" aca="1" ref="L104" ca="1">IF(SUM(OFFSET(Factors,VALUE(RIGHT(L$34,2)),1,1,68))=0,"None",SQRT(SUM((OFFSET(Factors,VALUE(RIGHT(L$34,2)),1,1,68)-$R104:$CG104)^2)))</f>
        <v>None</v>
      </c>
      <c r="M104" s="10" t="str">
        <f t="array" aca="1" ref="M104" ca="1">IF(SUM(OFFSET(Factors,VALUE(RIGHT(M$34,2)),1,1,68))=0,"None",SQRT(SUM((OFFSET(Factors,VALUE(RIGHT(M$34,2)),1,1,68)-$R104:$CG104)^2)))</f>
        <v>None</v>
      </c>
      <c r="N104" s="10" t="str">
        <f t="array" aca="1" ref="N104" ca="1">IF(SUM(OFFSET(Factors,VALUE(RIGHT(N$34,2)),1,1,68))=0,"None",SQRT(SUM((OFFSET(Factors,VALUE(RIGHT(N$34,2)),1,1,68)-$R104:$CG104)^2)))</f>
        <v>None</v>
      </c>
      <c r="O104" s="10" t="str">
        <f t="array" aca="1" ref="O104" ca="1">IF(SUM(OFFSET(Factors,VALUE(RIGHT(O$34,2)),1,1,68))=0,"None",SQRT(SUM((OFFSET(Factors,VALUE(RIGHT(O$34,2)),1,1,68)-$R104:$CG104)^2)))</f>
        <v>None</v>
      </c>
      <c r="Q104" s="10" t="s">
        <v>97</v>
      </c>
      <c r="R104" s="11">
        <v>0</v>
      </c>
      <c r="S104" s="11">
        <v>0</v>
      </c>
      <c r="T104" s="11">
        <v>0</v>
      </c>
      <c r="U104" s="11">
        <v>0</v>
      </c>
      <c r="V104" s="11">
        <v>0</v>
      </c>
      <c r="W104" s="11">
        <v>1</v>
      </c>
      <c r="X104" s="11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1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1</v>
      </c>
      <c r="AN104" s="11">
        <v>0</v>
      </c>
      <c r="AO104" s="11">
        <v>0</v>
      </c>
      <c r="AP104" s="11">
        <v>0</v>
      </c>
      <c r="AQ104" s="11">
        <v>0</v>
      </c>
      <c r="AR104" s="11">
        <v>0</v>
      </c>
      <c r="AS104" s="11">
        <v>1</v>
      </c>
      <c r="AT104" s="11">
        <v>0</v>
      </c>
      <c r="AU104" s="11">
        <v>0</v>
      </c>
      <c r="AV104" s="11">
        <v>0</v>
      </c>
      <c r="AW104" s="11">
        <v>1</v>
      </c>
      <c r="AX104" s="11">
        <v>0</v>
      </c>
      <c r="AY104" s="11">
        <v>0</v>
      </c>
      <c r="AZ104" s="11">
        <v>0</v>
      </c>
      <c r="BA104" s="11">
        <v>1</v>
      </c>
      <c r="BB104" s="11">
        <v>0</v>
      </c>
      <c r="BC104" s="11">
        <v>0</v>
      </c>
      <c r="BD104" s="11">
        <v>0</v>
      </c>
      <c r="BE104" s="11">
        <v>0</v>
      </c>
      <c r="BF104" s="11">
        <v>0</v>
      </c>
      <c r="BG104" s="11">
        <v>0</v>
      </c>
      <c r="BH104" s="11">
        <v>0</v>
      </c>
      <c r="BI104" s="11">
        <v>0</v>
      </c>
      <c r="BJ104" s="11">
        <v>1</v>
      </c>
      <c r="BK104" s="11">
        <v>0</v>
      </c>
      <c r="BL104" s="11">
        <v>0</v>
      </c>
      <c r="BM104" s="11">
        <v>0</v>
      </c>
      <c r="BN104" s="11">
        <v>0</v>
      </c>
      <c r="BO104" s="11">
        <v>0</v>
      </c>
      <c r="BP104" s="11">
        <v>1</v>
      </c>
      <c r="BQ104" s="11">
        <v>1</v>
      </c>
      <c r="BR104" s="11">
        <v>0</v>
      </c>
      <c r="BS104" s="11">
        <v>0</v>
      </c>
      <c r="BT104" s="11">
        <v>0</v>
      </c>
      <c r="BU104" s="11">
        <v>0</v>
      </c>
      <c r="BV104" s="11">
        <v>0</v>
      </c>
      <c r="BW104" s="11">
        <v>0</v>
      </c>
      <c r="BX104" s="11">
        <v>1</v>
      </c>
      <c r="BY104" s="11">
        <v>0</v>
      </c>
      <c r="BZ104" s="11">
        <v>0</v>
      </c>
      <c r="CA104" s="11">
        <v>0</v>
      </c>
      <c r="CB104" s="11">
        <v>0</v>
      </c>
      <c r="CC104" s="11">
        <v>0</v>
      </c>
      <c r="CD104" s="11">
        <v>0</v>
      </c>
      <c r="CE104" s="11">
        <v>0</v>
      </c>
      <c r="CF104" s="11">
        <v>0</v>
      </c>
      <c r="CG104" s="11">
        <v>0</v>
      </c>
      <c r="CH104" s="11">
        <f ca="1">E104</f>
        <v>4</v>
      </c>
    </row>
    <row r="105" spans="4:86" x14ac:dyDescent="0.3">
      <c r="D105" s="11">
        <v>1</v>
      </c>
      <c r="E105" s="11">
        <f t="shared" ca="1" si="15"/>
        <v>4</v>
      </c>
      <c r="F105" s="10">
        <f t="array" aca="1" ref="F105" ca="1">IF(SUM(OFFSET(Factors,VALUE(RIGHT(F$34,2)),1,1,68))=0,"None",SQRT(SUM((OFFSET(Factors,VALUE(RIGHT(F$34,2)),1,1,68)-$R105:$CG105)^2)))</f>
        <v>3.2625292676422419</v>
      </c>
      <c r="G105" s="10">
        <f t="array" aca="1" ref="G105" ca="1">IF(SUM(OFFSET(Factors,VALUE(RIGHT(G$34,2)),1,1,68))=0,"None",SQRT(SUM((OFFSET(Factors,VALUE(RIGHT(G$34,2)),1,1,68)-$R105:$CG105)^2)))</f>
        <v>3.1557217687332337</v>
      </c>
      <c r="H105" s="10">
        <f t="array" aca="1" ref="H105" ca="1">IF(SUM(OFFSET(Factors,VALUE(RIGHT(H$34,2)),1,1,68))=0,"None",SQRT(SUM((OFFSET(Factors,VALUE(RIGHT(H$34,2)),1,1,68)-$R105:$CG105)^2)))</f>
        <v>3.2972674017038863</v>
      </c>
      <c r="I105" s="10">
        <f t="array" aca="1" ref="I105" ca="1">IF(SUM(OFFSET(Factors,VALUE(RIGHT(I$34,2)),1,1,68))=0,"None",SQRT(SUM((OFFSET(Factors,VALUE(RIGHT(I$34,2)),1,1,68)-$R105:$CG105)^2)))</f>
        <v>2.9348997195196236</v>
      </c>
      <c r="J105" s="10">
        <f t="array" aca="1" ref="J105" ca="1">IF(SUM(OFFSET(Factors,VALUE(RIGHT(J$34,2)),1,1,68))=0,"None",SQRT(SUM((OFFSET(Factors,VALUE(RIGHT(J$34,2)),1,1,68)-$R105:$CG105)^2)))</f>
        <v>3.3387872049593095</v>
      </c>
      <c r="K105" s="10" t="str">
        <f t="array" aca="1" ref="K105" ca="1">IF(SUM(OFFSET(Factors,VALUE(RIGHT(K$34,2)),1,1,68))=0,"None",SQRT(SUM((OFFSET(Factors,VALUE(RIGHT(K$34,2)),1,1,68)-$R105:$CG105)^2)))</f>
        <v>None</v>
      </c>
      <c r="L105" s="10" t="str">
        <f t="array" aca="1" ref="L105" ca="1">IF(SUM(OFFSET(Factors,VALUE(RIGHT(L$34,2)),1,1,68))=0,"None",SQRT(SUM((OFFSET(Factors,VALUE(RIGHT(L$34,2)),1,1,68)-$R105:$CG105)^2)))</f>
        <v>None</v>
      </c>
      <c r="M105" s="10" t="str">
        <f t="array" aca="1" ref="M105" ca="1">IF(SUM(OFFSET(Factors,VALUE(RIGHT(M$34,2)),1,1,68))=0,"None",SQRT(SUM((OFFSET(Factors,VALUE(RIGHT(M$34,2)),1,1,68)-$R105:$CG105)^2)))</f>
        <v>None</v>
      </c>
      <c r="N105" s="10" t="str">
        <f t="array" aca="1" ref="N105" ca="1">IF(SUM(OFFSET(Factors,VALUE(RIGHT(N$34,2)),1,1,68))=0,"None",SQRT(SUM((OFFSET(Factors,VALUE(RIGHT(N$34,2)),1,1,68)-$R105:$CG105)^2)))</f>
        <v>None</v>
      </c>
      <c r="O105" s="10" t="str">
        <f t="array" aca="1" ref="O105" ca="1">IF(SUM(OFFSET(Factors,VALUE(RIGHT(O$34,2)),1,1,68))=0,"None",SQRT(SUM((OFFSET(Factors,VALUE(RIGHT(O$34,2)),1,1,68)-$R105:$CG105)^2)))</f>
        <v>None</v>
      </c>
      <c r="Q105" s="10" t="s">
        <v>93</v>
      </c>
      <c r="R105" s="11">
        <v>0</v>
      </c>
      <c r="S105" s="11">
        <v>0</v>
      </c>
      <c r="T105" s="11">
        <v>0</v>
      </c>
      <c r="U105" s="11">
        <v>0</v>
      </c>
      <c r="V105" s="11">
        <v>1</v>
      </c>
      <c r="W105" s="11">
        <v>0</v>
      </c>
      <c r="X105" s="11">
        <v>0</v>
      </c>
      <c r="Y105" s="11">
        <v>0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0</v>
      </c>
      <c r="AG105" s="11">
        <v>0</v>
      </c>
      <c r="AH105" s="11">
        <v>0</v>
      </c>
      <c r="AI105" s="11">
        <v>0</v>
      </c>
      <c r="AJ105" s="11">
        <v>1</v>
      </c>
      <c r="AK105" s="11">
        <v>0</v>
      </c>
      <c r="AL105" s="11">
        <v>0</v>
      </c>
      <c r="AM105" s="11">
        <v>0</v>
      </c>
      <c r="AN105" s="11">
        <v>0</v>
      </c>
      <c r="AO105" s="11">
        <v>0</v>
      </c>
      <c r="AP105" s="11">
        <v>1</v>
      </c>
      <c r="AQ105" s="11">
        <v>0</v>
      </c>
      <c r="AR105" s="11">
        <v>0</v>
      </c>
      <c r="AS105" s="11">
        <v>1</v>
      </c>
      <c r="AT105" s="11">
        <v>0</v>
      </c>
      <c r="AU105" s="11">
        <v>0</v>
      </c>
      <c r="AV105" s="11">
        <v>0</v>
      </c>
      <c r="AW105" s="11">
        <v>1</v>
      </c>
      <c r="AX105" s="11">
        <v>0</v>
      </c>
      <c r="AY105" s="11">
        <v>0</v>
      </c>
      <c r="AZ105" s="11">
        <v>0</v>
      </c>
      <c r="BA105" s="11">
        <v>1</v>
      </c>
      <c r="BB105" s="11">
        <v>0</v>
      </c>
      <c r="BC105" s="11">
        <v>0</v>
      </c>
      <c r="BD105" s="11">
        <v>1</v>
      </c>
      <c r="BE105" s="11">
        <v>0</v>
      </c>
      <c r="BF105" s="11">
        <v>0</v>
      </c>
      <c r="BG105" s="11">
        <v>0</v>
      </c>
      <c r="BH105" s="11">
        <v>0</v>
      </c>
      <c r="BI105" s="11">
        <v>0</v>
      </c>
      <c r="BJ105" s="11">
        <v>1</v>
      </c>
      <c r="BK105" s="11">
        <v>1</v>
      </c>
      <c r="BL105" s="11">
        <v>0</v>
      </c>
      <c r="BM105" s="11">
        <v>0</v>
      </c>
      <c r="BN105" s="11">
        <v>1</v>
      </c>
      <c r="BO105" s="11">
        <v>0</v>
      </c>
      <c r="BP105" s="11">
        <v>0</v>
      </c>
      <c r="BQ105" s="11">
        <v>0</v>
      </c>
      <c r="BR105" s="11">
        <v>0</v>
      </c>
      <c r="BS105" s="11">
        <v>0</v>
      </c>
      <c r="BT105" s="11">
        <v>1</v>
      </c>
      <c r="BU105" s="11">
        <v>0</v>
      </c>
      <c r="BV105" s="11">
        <v>0</v>
      </c>
      <c r="BW105" s="11">
        <v>0</v>
      </c>
      <c r="BX105" s="11">
        <v>0</v>
      </c>
      <c r="BY105" s="11">
        <v>0</v>
      </c>
      <c r="BZ105" s="11">
        <v>1</v>
      </c>
      <c r="CA105" s="11">
        <v>0</v>
      </c>
      <c r="CB105" s="11">
        <v>0</v>
      </c>
      <c r="CC105" s="11">
        <v>0</v>
      </c>
      <c r="CD105" s="11">
        <v>0</v>
      </c>
      <c r="CE105" s="11">
        <v>0</v>
      </c>
      <c r="CF105" s="11">
        <v>0</v>
      </c>
      <c r="CG105" s="11">
        <v>0</v>
      </c>
      <c r="CH105" s="11">
        <f ca="1">E105</f>
        <v>4</v>
      </c>
    </row>
    <row r="106" spans="4:86" x14ac:dyDescent="0.3">
      <c r="D106" s="11">
        <v>1</v>
      </c>
      <c r="E106" s="11">
        <f t="shared" ca="1" si="15"/>
        <v>4</v>
      </c>
      <c r="F106" s="10">
        <f t="array" aca="1" ref="F106" ca="1">IF(SUM(OFFSET(Factors,VALUE(RIGHT(F$34,2)),1,1,68))=0,"None",SQRT(SUM((OFFSET(Factors,VALUE(RIGHT(F$34,2)),1,1,68)-$R106:$CG106)^2)))</f>
        <v>2.8828395530949846</v>
      </c>
      <c r="G106" s="10">
        <f t="array" aca="1" ref="G106" ca="1">IF(SUM(OFFSET(Factors,VALUE(RIGHT(G$34,2)),1,1,68))=0,"None",SQRT(SUM((OFFSET(Factors,VALUE(RIGHT(G$34,2)),1,1,68)-$R106:$CG106)^2)))</f>
        <v>3.1065877702013349</v>
      </c>
      <c r="H106" s="10">
        <f t="array" aca="1" ref="H106" ca="1">IF(SUM(OFFSET(Factors,VALUE(RIGHT(H$34,2)),1,1,68))=0,"None",SQRT(SUM((OFFSET(Factors,VALUE(RIGHT(H$34,2)),1,1,68)-$R106:$CG106)^2)))</f>
        <v>3.1419694967232097</v>
      </c>
      <c r="I106" s="10">
        <f t="array" aca="1" ref="I106" ca="1">IF(SUM(OFFSET(Factors,VALUE(RIGHT(I$34,2)),1,1,68))=0,"None",SQRT(SUM((OFFSET(Factors,VALUE(RIGHT(I$34,2)),1,1,68)-$R106:$CG106)^2)))</f>
        <v>2.7261361267952453</v>
      </c>
      <c r="J106" s="10">
        <f t="array" aca="1" ref="J106" ca="1">IF(SUM(OFFSET(Factors,VALUE(RIGHT(J$34,2)),1,1,68))=0,"None",SQRT(SUM((OFFSET(Factors,VALUE(RIGHT(J$34,2)),1,1,68)-$R106:$CG106)^2)))</f>
        <v>2.7834331319433563</v>
      </c>
      <c r="K106" s="10" t="str">
        <f t="array" aca="1" ref="K106" ca="1">IF(SUM(OFFSET(Factors,VALUE(RIGHT(K$34,2)),1,1,68))=0,"None",SQRT(SUM((OFFSET(Factors,VALUE(RIGHT(K$34,2)),1,1,68)-$R106:$CG106)^2)))</f>
        <v>None</v>
      </c>
      <c r="L106" s="10" t="str">
        <f t="array" aca="1" ref="L106" ca="1">IF(SUM(OFFSET(Factors,VALUE(RIGHT(L$34,2)),1,1,68))=0,"None",SQRT(SUM((OFFSET(Factors,VALUE(RIGHT(L$34,2)),1,1,68)-$R106:$CG106)^2)))</f>
        <v>None</v>
      </c>
      <c r="M106" s="10" t="str">
        <f t="array" aca="1" ref="M106" ca="1">IF(SUM(OFFSET(Factors,VALUE(RIGHT(M$34,2)),1,1,68))=0,"None",SQRT(SUM((OFFSET(Factors,VALUE(RIGHT(M$34,2)),1,1,68)-$R106:$CG106)^2)))</f>
        <v>None</v>
      </c>
      <c r="N106" s="10" t="str">
        <f t="array" aca="1" ref="N106" ca="1">IF(SUM(OFFSET(Factors,VALUE(RIGHT(N$34,2)),1,1,68))=0,"None",SQRT(SUM((OFFSET(Factors,VALUE(RIGHT(N$34,2)),1,1,68)-$R106:$CG106)^2)))</f>
        <v>None</v>
      </c>
      <c r="O106" s="10" t="str">
        <f t="array" aca="1" ref="O106" ca="1">IF(SUM(OFFSET(Factors,VALUE(RIGHT(O$34,2)),1,1,68))=0,"None",SQRT(SUM((OFFSET(Factors,VALUE(RIGHT(O$34,2)),1,1,68)-$R106:$CG106)^2)))</f>
        <v>None</v>
      </c>
      <c r="Q106" s="10" t="s">
        <v>91</v>
      </c>
      <c r="R106" s="11">
        <v>0</v>
      </c>
      <c r="S106" s="11">
        <v>0</v>
      </c>
      <c r="T106" s="11">
        <v>0</v>
      </c>
      <c r="U106" s="11">
        <v>0</v>
      </c>
      <c r="V106" s="11">
        <v>0</v>
      </c>
      <c r="W106" s="11">
        <v>0</v>
      </c>
      <c r="X106" s="11">
        <v>1</v>
      </c>
      <c r="Y106" s="11">
        <v>0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0</v>
      </c>
      <c r="AG106" s="11">
        <v>1</v>
      </c>
      <c r="AH106" s="11">
        <v>1</v>
      </c>
      <c r="AI106" s="11">
        <v>0</v>
      </c>
      <c r="AJ106" s="11">
        <v>0</v>
      </c>
      <c r="AK106" s="11">
        <v>0</v>
      </c>
      <c r="AL106" s="11">
        <v>0</v>
      </c>
      <c r="AM106" s="11">
        <v>0</v>
      </c>
      <c r="AN106" s="11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1</v>
      </c>
      <c r="AT106" s="11">
        <v>1</v>
      </c>
      <c r="AU106" s="11">
        <v>0</v>
      </c>
      <c r="AV106" s="11">
        <v>0</v>
      </c>
      <c r="AW106" s="11">
        <v>0</v>
      </c>
      <c r="AX106" s="11">
        <v>0</v>
      </c>
      <c r="AY106" s="11">
        <v>0</v>
      </c>
      <c r="AZ106" s="11">
        <v>0</v>
      </c>
      <c r="BA106" s="11">
        <v>0</v>
      </c>
      <c r="BB106" s="11">
        <v>0</v>
      </c>
      <c r="BC106" s="11">
        <v>0</v>
      </c>
      <c r="BD106" s="11">
        <v>0</v>
      </c>
      <c r="BE106" s="11">
        <v>1</v>
      </c>
      <c r="BF106" s="11">
        <v>0</v>
      </c>
      <c r="BG106" s="11">
        <v>1</v>
      </c>
      <c r="BH106" s="11">
        <v>0</v>
      </c>
      <c r="BI106" s="11">
        <v>0</v>
      </c>
      <c r="BJ106" s="11">
        <v>1</v>
      </c>
      <c r="BK106" s="11">
        <v>0</v>
      </c>
      <c r="BL106" s="11">
        <v>0</v>
      </c>
      <c r="BM106" s="11">
        <v>0</v>
      </c>
      <c r="BN106" s="11">
        <v>1</v>
      </c>
      <c r="BO106" s="11">
        <v>0</v>
      </c>
      <c r="BP106" s="11">
        <v>1</v>
      </c>
      <c r="BQ106" s="11">
        <v>0</v>
      </c>
      <c r="BR106" s="11">
        <v>0</v>
      </c>
      <c r="BS106" s="11">
        <v>0</v>
      </c>
      <c r="BT106" s="11">
        <v>0</v>
      </c>
      <c r="BU106" s="11">
        <v>0</v>
      </c>
      <c r="BV106" s="11">
        <v>0</v>
      </c>
      <c r="BW106" s="11">
        <v>1</v>
      </c>
      <c r="BX106" s="11">
        <v>0</v>
      </c>
      <c r="BY106" s="11">
        <v>0</v>
      </c>
      <c r="BZ106" s="11">
        <v>0</v>
      </c>
      <c r="CA106" s="11">
        <v>0</v>
      </c>
      <c r="CB106" s="11">
        <v>0</v>
      </c>
      <c r="CC106" s="11">
        <v>0</v>
      </c>
      <c r="CD106" s="11">
        <v>0</v>
      </c>
      <c r="CE106" s="11">
        <v>0</v>
      </c>
      <c r="CF106" s="11">
        <v>0</v>
      </c>
      <c r="CG106" s="11">
        <v>0</v>
      </c>
      <c r="CH106" s="11">
        <f ca="1">E106</f>
        <v>4</v>
      </c>
    </row>
    <row r="107" spans="4:86" x14ac:dyDescent="0.3">
      <c r="D107" s="11">
        <v>3</v>
      </c>
      <c r="E107" s="11">
        <f t="shared" ca="1" si="15"/>
        <v>4</v>
      </c>
      <c r="F107" s="10">
        <f t="array" aca="1" ref="F107" ca="1">IF(SUM(OFFSET(Factors,VALUE(RIGHT(F$34,2)),1,1,68))=0,"None",SQRT(SUM((OFFSET(Factors,VALUE(RIGHT(F$34,2)),1,1,68)-$R107:$CG107)^2)))</f>
        <v>2.8828395530949842</v>
      </c>
      <c r="G107" s="10">
        <f t="array" aca="1" ref="G107" ca="1">IF(SUM(OFFSET(Factors,VALUE(RIGHT(G$34,2)),1,1,68))=0,"None",SQRT(SUM((OFFSET(Factors,VALUE(RIGHT(G$34,2)),1,1,68)-$R107:$CG107)^2)))</f>
        <v>3.2635697593225279</v>
      </c>
      <c r="H107" s="10">
        <f t="array" aca="1" ref="H107" ca="1">IF(SUM(OFFSET(Factors,VALUE(RIGHT(H$34,2)),1,1,68))=0,"None",SQRT(SUM((OFFSET(Factors,VALUE(RIGHT(H$34,2)),1,1,68)-$R107:$CG107)^2)))</f>
        <v>3.0852927157513776</v>
      </c>
      <c r="I107" s="10">
        <f t="array" aca="1" ref="I107" ca="1">IF(SUM(OFFSET(Factors,VALUE(RIGHT(I$34,2)),1,1,68))=0,"None",SQRT(SUM((OFFSET(Factors,VALUE(RIGHT(I$34,2)),1,1,68)-$R107:$CG107)^2)))</f>
        <v>2.6756477550475339</v>
      </c>
      <c r="J107" s="10">
        <f t="array" aca="1" ref="J107" ca="1">IF(SUM(OFFSET(Factors,VALUE(RIGHT(J$34,2)),1,1,68))=0,"None",SQRT(SUM((OFFSET(Factors,VALUE(RIGHT(J$34,2)),1,1,68)-$R107:$CG107)^2)))</f>
        <v>2.6921181251943609</v>
      </c>
      <c r="K107" s="10" t="str">
        <f t="array" aca="1" ref="K107" ca="1">IF(SUM(OFFSET(Factors,VALUE(RIGHT(K$34,2)),1,1,68))=0,"None",SQRT(SUM((OFFSET(Factors,VALUE(RIGHT(K$34,2)),1,1,68)-$R107:$CG107)^2)))</f>
        <v>None</v>
      </c>
      <c r="L107" s="10" t="str">
        <f t="array" aca="1" ref="L107" ca="1">IF(SUM(OFFSET(Factors,VALUE(RIGHT(L$34,2)),1,1,68))=0,"None",SQRT(SUM((OFFSET(Factors,VALUE(RIGHT(L$34,2)),1,1,68)-$R107:$CG107)^2)))</f>
        <v>None</v>
      </c>
      <c r="M107" s="10" t="str">
        <f t="array" aca="1" ref="M107" ca="1">IF(SUM(OFFSET(Factors,VALUE(RIGHT(M$34,2)),1,1,68))=0,"None",SQRT(SUM((OFFSET(Factors,VALUE(RIGHT(M$34,2)),1,1,68)-$R107:$CG107)^2)))</f>
        <v>None</v>
      </c>
      <c r="N107" s="10" t="str">
        <f t="array" aca="1" ref="N107" ca="1">IF(SUM(OFFSET(Factors,VALUE(RIGHT(N$34,2)),1,1,68))=0,"None",SQRT(SUM((OFFSET(Factors,VALUE(RIGHT(N$34,2)),1,1,68)-$R107:$CG107)^2)))</f>
        <v>None</v>
      </c>
      <c r="O107" s="10" t="str">
        <f t="array" aca="1" ref="O107" ca="1">IF(SUM(OFFSET(Factors,VALUE(RIGHT(O$34,2)),1,1,68))=0,"None",SQRT(SUM((OFFSET(Factors,VALUE(RIGHT(O$34,2)),1,1,68)-$R107:$CG107)^2)))</f>
        <v>None</v>
      </c>
      <c r="Q107" s="10" t="s">
        <v>83</v>
      </c>
      <c r="R107" s="11">
        <v>0</v>
      </c>
      <c r="S107" s="11">
        <v>0</v>
      </c>
      <c r="T107" s="11">
        <v>0</v>
      </c>
      <c r="U107" s="11">
        <v>0</v>
      </c>
      <c r="V107" s="11">
        <v>0</v>
      </c>
      <c r="W107" s="11">
        <v>0</v>
      </c>
      <c r="X107" s="11">
        <v>0</v>
      </c>
      <c r="Y107" s="11">
        <v>1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0</v>
      </c>
      <c r="AG107" s="11">
        <v>0</v>
      </c>
      <c r="AH107" s="11">
        <v>1</v>
      </c>
      <c r="AI107" s="11">
        <v>0</v>
      </c>
      <c r="AJ107" s="11">
        <v>0</v>
      </c>
      <c r="AK107" s="11">
        <v>0</v>
      </c>
      <c r="AL107" s="11">
        <v>0</v>
      </c>
      <c r="AM107" s="11">
        <v>0</v>
      </c>
      <c r="AN107" s="11">
        <v>0</v>
      </c>
      <c r="AO107" s="11">
        <v>0</v>
      </c>
      <c r="AP107" s="11">
        <v>0</v>
      </c>
      <c r="AQ107" s="11">
        <v>0</v>
      </c>
      <c r="AR107" s="11">
        <v>0</v>
      </c>
      <c r="AS107" s="11">
        <v>1</v>
      </c>
      <c r="AT107" s="11">
        <v>1</v>
      </c>
      <c r="AU107" s="11">
        <v>0</v>
      </c>
      <c r="AV107" s="11">
        <v>0</v>
      </c>
      <c r="AW107" s="11">
        <v>0</v>
      </c>
      <c r="AX107" s="11">
        <v>0</v>
      </c>
      <c r="AY107" s="11">
        <v>0</v>
      </c>
      <c r="AZ107" s="11">
        <v>0</v>
      </c>
      <c r="BA107" s="11">
        <v>1</v>
      </c>
      <c r="BB107" s="11">
        <v>0</v>
      </c>
      <c r="BC107" s="11">
        <v>0</v>
      </c>
      <c r="BD107" s="11">
        <v>0</v>
      </c>
      <c r="BE107" s="11">
        <v>1</v>
      </c>
      <c r="BF107" s="11">
        <v>0</v>
      </c>
      <c r="BG107" s="11">
        <v>0</v>
      </c>
      <c r="BH107" s="11">
        <v>0</v>
      </c>
      <c r="BI107" s="11">
        <v>0</v>
      </c>
      <c r="BJ107" s="11">
        <v>1</v>
      </c>
      <c r="BK107" s="11">
        <v>0</v>
      </c>
      <c r="BL107" s="11">
        <v>1</v>
      </c>
      <c r="BM107" s="11">
        <v>0</v>
      </c>
      <c r="BN107" s="11">
        <v>0</v>
      </c>
      <c r="BO107" s="11">
        <v>0</v>
      </c>
      <c r="BP107" s="11">
        <v>1</v>
      </c>
      <c r="BQ107" s="11">
        <v>0</v>
      </c>
      <c r="BR107" s="11">
        <v>0</v>
      </c>
      <c r="BS107" s="11">
        <v>0</v>
      </c>
      <c r="BT107" s="11">
        <v>0</v>
      </c>
      <c r="BU107" s="11">
        <v>0</v>
      </c>
      <c r="BV107" s="11">
        <v>0</v>
      </c>
      <c r="BW107" s="11">
        <v>0</v>
      </c>
      <c r="BX107" s="11">
        <v>1</v>
      </c>
      <c r="BY107" s="11">
        <v>0</v>
      </c>
      <c r="BZ107" s="11">
        <v>1</v>
      </c>
      <c r="CA107" s="11">
        <v>0</v>
      </c>
      <c r="CB107" s="11">
        <v>0</v>
      </c>
      <c r="CC107" s="11">
        <v>0</v>
      </c>
      <c r="CD107" s="11">
        <v>0</v>
      </c>
      <c r="CE107" s="11">
        <v>0</v>
      </c>
      <c r="CF107" s="11">
        <v>0</v>
      </c>
      <c r="CG107" s="11">
        <v>0</v>
      </c>
      <c r="CH107" s="11">
        <f ca="1">E107</f>
        <v>4</v>
      </c>
    </row>
    <row r="108" spans="4:86" x14ac:dyDescent="0.3">
      <c r="D108" s="11">
        <v>1</v>
      </c>
      <c r="E108" s="11">
        <f t="shared" ca="1" si="15"/>
        <v>4</v>
      </c>
      <c r="F108" s="10">
        <f t="array" aca="1" ref="F108" ca="1">IF(SUM(OFFSET(Factors,VALUE(RIGHT(F$34,2)),1,1,68))=0,"None",SQRT(SUM((OFFSET(Factors,VALUE(RIGHT(F$34,2)),1,1,68)-$R108:$CG108)^2)))</f>
        <v>2.9400845603863548</v>
      </c>
      <c r="G108" s="10">
        <f t="array" aca="1" ref="G108" ca="1">IF(SUM(OFFSET(Factors,VALUE(RIGHT(G$34,2)),1,1,68))=0,"None",SQRT(SUM((OFFSET(Factors,VALUE(RIGHT(G$34,2)),1,1,68)-$R108:$CG108)^2)))</f>
        <v>2.6524522537794875</v>
      </c>
      <c r="H108" s="10">
        <f t="array" aca="1" ref="H108" ca="1">IF(SUM(OFFSET(Factors,VALUE(RIGHT(H$34,2)),1,1,68))=0,"None",SQRT(SUM((OFFSET(Factors,VALUE(RIGHT(H$34,2)),1,1,68)-$R108:$CG108)^2)))</f>
        <v>3.0757450499767929</v>
      </c>
      <c r="I108" s="10">
        <f t="array" aca="1" ref="I108" ca="1">IF(SUM(OFFSET(Factors,VALUE(RIGHT(I$34,2)),1,1,68))=0,"None",SQRT(SUM((OFFSET(Factors,VALUE(RIGHT(I$34,2)),1,1,68)-$R108:$CG108)^2)))</f>
        <v>2.3500483554019205</v>
      </c>
      <c r="J108" s="10">
        <f t="array" aca="1" ref="J108" ca="1">IF(SUM(OFFSET(Factors,VALUE(RIGHT(J$34,2)),1,1,68))=0,"None",SQRT(SUM((OFFSET(Factors,VALUE(RIGHT(J$34,2)),1,1,68)-$R108:$CG108)^2)))</f>
        <v>2.9912372022292049</v>
      </c>
      <c r="K108" s="10" t="str">
        <f t="array" aca="1" ref="K108" ca="1">IF(SUM(OFFSET(Factors,VALUE(RIGHT(K$34,2)),1,1,68))=0,"None",SQRT(SUM((OFFSET(Factors,VALUE(RIGHT(K$34,2)),1,1,68)-$R108:$CG108)^2)))</f>
        <v>None</v>
      </c>
      <c r="L108" s="10" t="str">
        <f t="array" aca="1" ref="L108" ca="1">IF(SUM(OFFSET(Factors,VALUE(RIGHT(L$34,2)),1,1,68))=0,"None",SQRT(SUM((OFFSET(Factors,VALUE(RIGHT(L$34,2)),1,1,68)-$R108:$CG108)^2)))</f>
        <v>None</v>
      </c>
      <c r="M108" s="10" t="str">
        <f t="array" aca="1" ref="M108" ca="1">IF(SUM(OFFSET(Factors,VALUE(RIGHT(M$34,2)),1,1,68))=0,"None",SQRT(SUM((OFFSET(Factors,VALUE(RIGHT(M$34,2)),1,1,68)-$R108:$CG108)^2)))</f>
        <v>None</v>
      </c>
      <c r="N108" s="10" t="str">
        <f t="array" aca="1" ref="N108" ca="1">IF(SUM(OFFSET(Factors,VALUE(RIGHT(N$34,2)),1,1,68))=0,"None",SQRT(SUM((OFFSET(Factors,VALUE(RIGHT(N$34,2)),1,1,68)-$R108:$CG108)^2)))</f>
        <v>None</v>
      </c>
      <c r="O108" s="10" t="str">
        <f t="array" aca="1" ref="O108" ca="1">IF(SUM(OFFSET(Factors,VALUE(RIGHT(O$34,2)),1,1,68))=0,"None",SQRT(SUM((OFFSET(Factors,VALUE(RIGHT(O$34,2)),1,1,68)-$R108:$CG108)^2)))</f>
        <v>None</v>
      </c>
      <c r="Q108" s="10" t="s">
        <v>76</v>
      </c>
      <c r="R108" s="11">
        <v>0</v>
      </c>
      <c r="S108" s="11">
        <v>0</v>
      </c>
      <c r="T108" s="11">
        <v>0</v>
      </c>
      <c r="U108" s="11">
        <v>1</v>
      </c>
      <c r="V108" s="11">
        <v>0</v>
      </c>
      <c r="W108" s="11">
        <v>0</v>
      </c>
      <c r="X108" s="11">
        <v>0</v>
      </c>
      <c r="Y108" s="11">
        <v>0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0</v>
      </c>
      <c r="AG108" s="11">
        <v>0</v>
      </c>
      <c r="AH108" s="11">
        <v>1</v>
      </c>
      <c r="AI108" s="11">
        <v>0</v>
      </c>
      <c r="AJ108" s="11">
        <v>1</v>
      </c>
      <c r="AK108" s="11">
        <v>1</v>
      </c>
      <c r="AL108" s="11">
        <v>0</v>
      </c>
      <c r="AM108" s="11">
        <v>0</v>
      </c>
      <c r="AN108" s="11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1">
        <v>0</v>
      </c>
      <c r="AV108" s="11">
        <v>1</v>
      </c>
      <c r="AW108" s="11">
        <v>1</v>
      </c>
      <c r="AX108" s="11">
        <v>0</v>
      </c>
      <c r="AY108" s="11">
        <v>0</v>
      </c>
      <c r="AZ108" s="11">
        <v>0</v>
      </c>
      <c r="BA108" s="11">
        <v>0</v>
      </c>
      <c r="BB108" s="11">
        <v>0</v>
      </c>
      <c r="BC108" s="11">
        <v>0</v>
      </c>
      <c r="BD108" s="11">
        <v>0</v>
      </c>
      <c r="BE108" s="11">
        <v>0</v>
      </c>
      <c r="BF108" s="11">
        <v>0</v>
      </c>
      <c r="BG108" s="11">
        <v>1</v>
      </c>
      <c r="BH108" s="11">
        <v>0</v>
      </c>
      <c r="BI108" s="11">
        <v>0</v>
      </c>
      <c r="BJ108" s="11">
        <v>1</v>
      </c>
      <c r="BK108" s="11">
        <v>0</v>
      </c>
      <c r="BL108" s="11">
        <v>0</v>
      </c>
      <c r="BM108" s="11">
        <v>0</v>
      </c>
      <c r="BN108" s="11">
        <v>0</v>
      </c>
      <c r="BO108" s="11">
        <v>0</v>
      </c>
      <c r="BP108" s="11">
        <v>1</v>
      </c>
      <c r="BQ108" s="11">
        <v>0</v>
      </c>
      <c r="BR108" s="11">
        <v>0</v>
      </c>
      <c r="BS108" s="11">
        <v>1</v>
      </c>
      <c r="BT108" s="11">
        <v>0</v>
      </c>
      <c r="BU108" s="11">
        <v>0</v>
      </c>
      <c r="BV108" s="11">
        <v>0</v>
      </c>
      <c r="BW108" s="11">
        <v>0</v>
      </c>
      <c r="BX108" s="11">
        <v>0</v>
      </c>
      <c r="BY108" s="11">
        <v>0</v>
      </c>
      <c r="BZ108" s="11">
        <v>0</v>
      </c>
      <c r="CA108" s="11">
        <v>0</v>
      </c>
      <c r="CB108" s="11">
        <v>0</v>
      </c>
      <c r="CC108" s="11">
        <v>0</v>
      </c>
      <c r="CD108" s="11">
        <v>0</v>
      </c>
      <c r="CE108" s="11">
        <v>0</v>
      </c>
      <c r="CF108" s="11">
        <v>0</v>
      </c>
      <c r="CG108" s="11">
        <v>0</v>
      </c>
      <c r="CH108" s="11">
        <f ca="1">E108</f>
        <v>4</v>
      </c>
    </row>
    <row r="109" spans="4:86" x14ac:dyDescent="0.3">
      <c r="D109" s="11">
        <v>1</v>
      </c>
      <c r="E109" s="11">
        <f t="shared" ca="1" si="15"/>
        <v>4</v>
      </c>
      <c r="F109" s="10">
        <f t="array" aca="1" ref="F109" ca="1">IF(SUM(OFFSET(Factors,VALUE(RIGHT(F$34,2)),1,1,68))=0,"None",SQRT(SUM((OFFSET(Factors,VALUE(RIGHT(F$34,2)),1,1,68)-$R109:$CG109)^2)))</f>
        <v>3.4728610523441463</v>
      </c>
      <c r="G109" s="10">
        <f t="array" aca="1" ref="G109" ca="1">IF(SUM(OFFSET(Factors,VALUE(RIGHT(G$34,2)),1,1,68))=0,"None",SQRT(SUM((OFFSET(Factors,VALUE(RIGHT(G$34,2)),1,1,68)-$R109:$CG109)^2)))</f>
        <v>3.131251144161173</v>
      </c>
      <c r="H109" s="10">
        <f t="array" aca="1" ref="H109" ca="1">IF(SUM(OFFSET(Factors,VALUE(RIGHT(H$34,2)),1,1,68))=0,"None",SQRT(SUM((OFFSET(Factors,VALUE(RIGHT(H$34,2)),1,1,68)-$R109:$CG109)^2)))</f>
        <v>3.6122628512574209</v>
      </c>
      <c r="I109" s="10">
        <f t="array" aca="1" ref="I109" ca="1">IF(SUM(OFFSET(Factors,VALUE(RIGHT(I$34,2)),1,1,68))=0,"None",SQRT(SUM((OFFSET(Factors,VALUE(RIGHT(I$34,2)),1,1,68)-$R109:$CG109)^2)))</f>
        <v>2.8880632075681953</v>
      </c>
      <c r="J109" s="10">
        <f t="array" aca="1" ref="J109" ca="1">IF(SUM(OFFSET(Factors,VALUE(RIGHT(J$34,2)),1,1,68))=0,"None",SQRT(SUM((OFFSET(Factors,VALUE(RIGHT(J$34,2)),1,1,68)-$R109:$CG109)^2)))</f>
        <v>3.3834154341434339</v>
      </c>
      <c r="K109" s="10" t="str">
        <f t="array" aca="1" ref="K109" ca="1">IF(SUM(OFFSET(Factors,VALUE(RIGHT(K$34,2)),1,1,68))=0,"None",SQRT(SUM((OFFSET(Factors,VALUE(RIGHT(K$34,2)),1,1,68)-$R109:$CG109)^2)))</f>
        <v>None</v>
      </c>
      <c r="L109" s="10" t="str">
        <f t="array" aca="1" ref="L109" ca="1">IF(SUM(OFFSET(Factors,VALUE(RIGHT(L$34,2)),1,1,68))=0,"None",SQRT(SUM((OFFSET(Factors,VALUE(RIGHT(L$34,2)),1,1,68)-$R109:$CG109)^2)))</f>
        <v>None</v>
      </c>
      <c r="M109" s="10" t="str">
        <f t="array" aca="1" ref="M109" ca="1">IF(SUM(OFFSET(Factors,VALUE(RIGHT(M$34,2)),1,1,68))=0,"None",SQRT(SUM((OFFSET(Factors,VALUE(RIGHT(M$34,2)),1,1,68)-$R109:$CG109)^2)))</f>
        <v>None</v>
      </c>
      <c r="N109" s="10" t="str">
        <f t="array" aca="1" ref="N109" ca="1">IF(SUM(OFFSET(Factors,VALUE(RIGHT(N$34,2)),1,1,68))=0,"None",SQRT(SUM((OFFSET(Factors,VALUE(RIGHT(N$34,2)),1,1,68)-$R109:$CG109)^2)))</f>
        <v>None</v>
      </c>
      <c r="O109" s="10" t="str">
        <f t="array" aca="1" ref="O109" ca="1">IF(SUM(OFFSET(Factors,VALUE(RIGHT(O$34,2)),1,1,68))=0,"None",SQRT(SUM((OFFSET(Factors,VALUE(RIGHT(O$34,2)),1,1,68)-$R109:$CG109)^2)))</f>
        <v>None</v>
      </c>
      <c r="Q109" s="10" t="s">
        <v>73</v>
      </c>
      <c r="R109" s="11">
        <v>0</v>
      </c>
      <c r="S109" s="11">
        <v>0</v>
      </c>
      <c r="T109" s="11">
        <v>0</v>
      </c>
      <c r="U109" s="11">
        <v>1</v>
      </c>
      <c r="V109" s="11">
        <v>0</v>
      </c>
      <c r="W109" s="11">
        <v>0</v>
      </c>
      <c r="X109" s="11">
        <v>0</v>
      </c>
      <c r="Y109" s="11">
        <v>0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1</v>
      </c>
      <c r="AG109" s="11">
        <v>0</v>
      </c>
      <c r="AH109" s="11">
        <v>1</v>
      </c>
      <c r="AI109" s="11">
        <v>1</v>
      </c>
      <c r="AJ109" s="11">
        <v>0</v>
      </c>
      <c r="AK109" s="11">
        <v>0</v>
      </c>
      <c r="AL109" s="11">
        <v>1</v>
      </c>
      <c r="AM109" s="11">
        <v>0</v>
      </c>
      <c r="AN109" s="11">
        <v>0</v>
      </c>
      <c r="AO109" s="11">
        <v>0</v>
      </c>
      <c r="AP109" s="11">
        <v>0</v>
      </c>
      <c r="AQ109" s="11">
        <v>0</v>
      </c>
      <c r="AR109" s="11">
        <v>0</v>
      </c>
      <c r="AS109" s="11">
        <v>0</v>
      </c>
      <c r="AT109" s="11">
        <v>0</v>
      </c>
      <c r="AU109" s="11">
        <v>0</v>
      </c>
      <c r="AV109" s="11">
        <v>1</v>
      </c>
      <c r="AW109" s="11">
        <v>1</v>
      </c>
      <c r="AX109" s="11">
        <v>0</v>
      </c>
      <c r="AY109" s="11">
        <v>0</v>
      </c>
      <c r="AZ109" s="11">
        <v>0</v>
      </c>
      <c r="BA109" s="11">
        <v>1</v>
      </c>
      <c r="BB109" s="11">
        <v>0</v>
      </c>
      <c r="BC109" s="11">
        <v>0</v>
      </c>
      <c r="BD109" s="11">
        <v>0</v>
      </c>
      <c r="BE109" s="11">
        <v>0</v>
      </c>
      <c r="BF109" s="11">
        <v>0</v>
      </c>
      <c r="BG109" s="11">
        <v>1</v>
      </c>
      <c r="BH109" s="11">
        <v>1</v>
      </c>
      <c r="BI109" s="11">
        <v>0</v>
      </c>
      <c r="BJ109" s="11">
        <v>0</v>
      </c>
      <c r="BK109" s="11">
        <v>0</v>
      </c>
      <c r="BL109" s="11">
        <v>0</v>
      </c>
      <c r="BM109" s="11">
        <v>0</v>
      </c>
      <c r="BN109" s="11">
        <v>0</v>
      </c>
      <c r="BO109" s="11">
        <v>0</v>
      </c>
      <c r="BP109" s="11">
        <v>0</v>
      </c>
      <c r="BQ109" s="11">
        <v>1</v>
      </c>
      <c r="BR109" s="11">
        <v>0</v>
      </c>
      <c r="BS109" s="11">
        <v>1</v>
      </c>
      <c r="BT109" s="11">
        <v>0</v>
      </c>
      <c r="BU109" s="11">
        <v>0</v>
      </c>
      <c r="BV109" s="11">
        <v>0</v>
      </c>
      <c r="BW109" s="11">
        <v>0</v>
      </c>
      <c r="BX109" s="11">
        <v>0</v>
      </c>
      <c r="BY109" s="11">
        <v>0</v>
      </c>
      <c r="BZ109" s="11">
        <v>0</v>
      </c>
      <c r="CA109" s="11">
        <v>0</v>
      </c>
      <c r="CB109" s="11">
        <v>0</v>
      </c>
      <c r="CC109" s="11">
        <v>0</v>
      </c>
      <c r="CD109" s="11">
        <v>1</v>
      </c>
      <c r="CE109" s="11">
        <v>0</v>
      </c>
      <c r="CF109" s="11">
        <v>0</v>
      </c>
      <c r="CG109" s="11">
        <v>0</v>
      </c>
      <c r="CH109" s="11">
        <f ca="1">E109</f>
        <v>4</v>
      </c>
    </row>
    <row r="110" spans="4:86" x14ac:dyDescent="0.3">
      <c r="D110" s="11">
        <v>4</v>
      </c>
      <c r="E110" s="11">
        <f t="shared" ca="1" si="15"/>
        <v>4</v>
      </c>
      <c r="F110" s="10">
        <f t="array" aca="1" ref="F110" ca="1">IF(SUM(OFFSET(Factors,VALUE(RIGHT(F$34,2)),1,1,68))=0,"None",SQRT(SUM((OFFSET(Factors,VALUE(RIGHT(F$34,2)),1,1,68)-$R110:$CG110)^2)))</f>
        <v>2.6883880961564226</v>
      </c>
      <c r="G110" s="10">
        <f t="array" aca="1" ref="G110" ca="1">IF(SUM(OFFSET(Factors,VALUE(RIGHT(G$34,2)),1,1,68))=0,"None",SQRT(SUM((OFFSET(Factors,VALUE(RIGHT(G$34,2)),1,1,68)-$R110:$CG110)^2)))</f>
        <v>2.8751125524662711</v>
      </c>
      <c r="H110" s="10">
        <f t="array" aca="1" ref="H110" ca="1">IF(SUM(OFFSET(Factors,VALUE(RIGHT(H$34,2)),1,1,68))=0,"None",SQRT(SUM((OFFSET(Factors,VALUE(RIGHT(H$34,2)),1,1,68)-$R110:$CG110)^2)))</f>
        <v>2.8679109984115074</v>
      </c>
      <c r="I110" s="10">
        <f t="array" aca="1" ref="I110" ca="1">IF(SUM(OFFSET(Factors,VALUE(RIGHT(I$34,2)),1,1,68))=0,"None",SQRT(SUM((OFFSET(Factors,VALUE(RIGHT(I$34,2)),1,1,68)-$R110:$CG110)^2)))</f>
        <v>2.2309802166923678</v>
      </c>
      <c r="J110" s="10">
        <f t="array" aca="1" ref="J110" ca="1">IF(SUM(OFFSET(Factors,VALUE(RIGHT(J$34,2)),1,1,68))=0,"None",SQRT(SUM((OFFSET(Factors,VALUE(RIGHT(J$34,2)),1,1,68)-$R110:$CG110)^2)))</f>
        <v>2.7834331319433558</v>
      </c>
      <c r="K110" s="10" t="str">
        <f t="array" aca="1" ref="K110" ca="1">IF(SUM(OFFSET(Factors,VALUE(RIGHT(K$34,2)),1,1,68))=0,"None",SQRT(SUM((OFFSET(Factors,VALUE(RIGHT(K$34,2)),1,1,68)-$R110:$CG110)^2)))</f>
        <v>None</v>
      </c>
      <c r="L110" s="10" t="str">
        <f t="array" aca="1" ref="L110" ca="1">IF(SUM(OFFSET(Factors,VALUE(RIGHT(L$34,2)),1,1,68))=0,"None",SQRT(SUM((OFFSET(Factors,VALUE(RIGHT(L$34,2)),1,1,68)-$R110:$CG110)^2)))</f>
        <v>None</v>
      </c>
      <c r="M110" s="10" t="str">
        <f t="array" aca="1" ref="M110" ca="1">IF(SUM(OFFSET(Factors,VALUE(RIGHT(M$34,2)),1,1,68))=0,"None",SQRT(SUM((OFFSET(Factors,VALUE(RIGHT(M$34,2)),1,1,68)-$R110:$CG110)^2)))</f>
        <v>None</v>
      </c>
      <c r="N110" s="10" t="str">
        <f t="array" aca="1" ref="N110" ca="1">IF(SUM(OFFSET(Factors,VALUE(RIGHT(N$34,2)),1,1,68))=0,"None",SQRT(SUM((OFFSET(Factors,VALUE(RIGHT(N$34,2)),1,1,68)-$R110:$CG110)^2)))</f>
        <v>None</v>
      </c>
      <c r="O110" s="10" t="str">
        <f t="array" aca="1" ref="O110" ca="1">IF(SUM(OFFSET(Factors,VALUE(RIGHT(O$34,2)),1,1,68))=0,"None",SQRT(SUM((OFFSET(Factors,VALUE(RIGHT(O$34,2)),1,1,68)-$R110:$CG110)^2)))</f>
        <v>None</v>
      </c>
      <c r="Q110" s="10" t="s">
        <v>68</v>
      </c>
      <c r="R110" s="11">
        <v>0</v>
      </c>
      <c r="S110" s="11">
        <v>0</v>
      </c>
      <c r="T110" s="11">
        <v>0</v>
      </c>
      <c r="U110" s="11">
        <v>0</v>
      </c>
      <c r="V110" s="11">
        <v>0</v>
      </c>
      <c r="W110" s="11">
        <v>0</v>
      </c>
      <c r="X110" s="11">
        <v>0</v>
      </c>
      <c r="Y110" s="11">
        <v>1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0</v>
      </c>
      <c r="AG110" s="11">
        <v>0</v>
      </c>
      <c r="AH110" s="11">
        <v>1</v>
      </c>
      <c r="AI110" s="11">
        <v>0</v>
      </c>
      <c r="AJ110" s="11">
        <v>0</v>
      </c>
      <c r="AK110" s="11">
        <v>1</v>
      </c>
      <c r="AL110" s="11">
        <v>0</v>
      </c>
      <c r="AM110" s="11">
        <v>0</v>
      </c>
      <c r="AN110" s="11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1</v>
      </c>
      <c r="AT110" s="11">
        <v>0</v>
      </c>
      <c r="AU110" s="11">
        <v>0</v>
      </c>
      <c r="AV110" s="11">
        <v>0</v>
      </c>
      <c r="AW110" s="11">
        <v>1</v>
      </c>
      <c r="AX110" s="11">
        <v>0</v>
      </c>
      <c r="AY110" s="11">
        <v>0</v>
      </c>
      <c r="AZ110" s="11">
        <v>0</v>
      </c>
      <c r="BA110" s="11">
        <v>1</v>
      </c>
      <c r="BB110" s="11">
        <v>0</v>
      </c>
      <c r="BC110" s="11">
        <v>0</v>
      </c>
      <c r="BD110" s="11">
        <v>1</v>
      </c>
      <c r="BE110" s="11">
        <v>0</v>
      </c>
      <c r="BF110" s="11">
        <v>0</v>
      </c>
      <c r="BG110" s="11">
        <v>1</v>
      </c>
      <c r="BH110" s="11">
        <v>0</v>
      </c>
      <c r="BI110" s="11">
        <v>0</v>
      </c>
      <c r="BJ110" s="11">
        <v>1</v>
      </c>
      <c r="BK110" s="11">
        <v>0</v>
      </c>
      <c r="BL110" s="11">
        <v>0</v>
      </c>
      <c r="BM110" s="11">
        <v>0</v>
      </c>
      <c r="BN110" s="11">
        <v>0</v>
      </c>
      <c r="BO110" s="11">
        <v>0</v>
      </c>
      <c r="BP110" s="11">
        <v>1</v>
      </c>
      <c r="BQ110" s="11">
        <v>0</v>
      </c>
      <c r="BR110" s="11">
        <v>0</v>
      </c>
      <c r="BS110" s="11">
        <v>0</v>
      </c>
      <c r="BT110" s="11">
        <v>0</v>
      </c>
      <c r="BU110" s="11">
        <v>0</v>
      </c>
      <c r="BV110" s="11">
        <v>0</v>
      </c>
      <c r="BW110" s="11">
        <v>1</v>
      </c>
      <c r="BX110" s="11">
        <v>0</v>
      </c>
      <c r="BY110" s="11">
        <v>0</v>
      </c>
      <c r="BZ110" s="11">
        <v>0</v>
      </c>
      <c r="CA110" s="11">
        <v>0</v>
      </c>
      <c r="CB110" s="11">
        <v>0</v>
      </c>
      <c r="CC110" s="11">
        <v>0</v>
      </c>
      <c r="CD110" s="11">
        <v>0</v>
      </c>
      <c r="CE110" s="11">
        <v>0</v>
      </c>
      <c r="CF110" s="11">
        <v>0</v>
      </c>
      <c r="CG110" s="11">
        <v>0</v>
      </c>
      <c r="CH110" s="11">
        <f ca="1">E110</f>
        <v>4</v>
      </c>
    </row>
    <row r="111" spans="4:86" x14ac:dyDescent="0.3">
      <c r="D111" s="11">
        <v>4</v>
      </c>
      <c r="E111" s="11">
        <f t="shared" ca="1" si="15"/>
        <v>4</v>
      </c>
      <c r="F111" s="10">
        <f t="array" aca="1" ref="F111" ca="1">IF(SUM(OFFSET(Factors,VALUE(RIGHT(F$34,2)),1,1,68))=0,"None",SQRT(SUM((OFFSET(Factors,VALUE(RIGHT(F$34,2)),1,1,68)-$R111:$CG111)^2)))</f>
        <v>3.0376686052885287</v>
      </c>
      <c r="G111" s="10">
        <f t="array" aca="1" ref="G111" ca="1">IF(SUM(OFFSET(Factors,VALUE(RIGHT(G$34,2)),1,1,68))=0,"None",SQRT(SUM((OFFSET(Factors,VALUE(RIGHT(G$34,2)),1,1,68)-$R111:$CG111)^2)))</f>
        <v>2.8210955109064999</v>
      </c>
      <c r="H111" s="10">
        <f t="array" aca="1" ref="H111" ca="1">IF(SUM(OFFSET(Factors,VALUE(RIGHT(H$34,2)),1,1,68))=0,"None",SQRT(SUM((OFFSET(Factors,VALUE(RIGHT(H$34,2)),1,1,68)-$R111:$CG111)^2)))</f>
        <v>3.1791927333815666</v>
      </c>
      <c r="I111" s="10">
        <f t="array" aca="1" ref="I111" ca="1">IF(SUM(OFFSET(Factors,VALUE(RIGHT(I$34,2)),1,1,68))=0,"None",SQRT(SUM((OFFSET(Factors,VALUE(RIGHT(I$34,2)),1,1,68)-$R111:$CG111)^2)))</f>
        <v>2.4633679826980415</v>
      </c>
      <c r="J111" s="10">
        <f t="array" aca="1" ref="J111" ca="1">IF(SUM(OFFSET(Factors,VALUE(RIGHT(J$34,2)),1,1,68))=0,"None",SQRT(SUM((OFFSET(Factors,VALUE(RIGHT(J$34,2)),1,1,68)-$R111:$CG111)^2)))</f>
        <v>3.0736785778607367</v>
      </c>
      <c r="K111" s="10" t="str">
        <f t="array" aca="1" ref="K111" ca="1">IF(SUM(OFFSET(Factors,VALUE(RIGHT(K$34,2)),1,1,68))=0,"None",SQRT(SUM((OFFSET(Factors,VALUE(RIGHT(K$34,2)),1,1,68)-$R111:$CG111)^2)))</f>
        <v>None</v>
      </c>
      <c r="L111" s="10" t="str">
        <f t="array" aca="1" ref="L111" ca="1">IF(SUM(OFFSET(Factors,VALUE(RIGHT(L$34,2)),1,1,68))=0,"None",SQRT(SUM((OFFSET(Factors,VALUE(RIGHT(L$34,2)),1,1,68)-$R111:$CG111)^2)))</f>
        <v>None</v>
      </c>
      <c r="M111" s="10" t="str">
        <f t="array" aca="1" ref="M111" ca="1">IF(SUM(OFFSET(Factors,VALUE(RIGHT(M$34,2)),1,1,68))=0,"None",SQRT(SUM((OFFSET(Factors,VALUE(RIGHT(M$34,2)),1,1,68)-$R111:$CG111)^2)))</f>
        <v>None</v>
      </c>
      <c r="N111" s="10" t="str">
        <f t="array" aca="1" ref="N111" ca="1">IF(SUM(OFFSET(Factors,VALUE(RIGHT(N$34,2)),1,1,68))=0,"None",SQRT(SUM((OFFSET(Factors,VALUE(RIGHT(N$34,2)),1,1,68)-$R111:$CG111)^2)))</f>
        <v>None</v>
      </c>
      <c r="O111" s="10" t="str">
        <f t="array" aca="1" ref="O111" ca="1">IF(SUM(OFFSET(Factors,VALUE(RIGHT(O$34,2)),1,1,68))=0,"None",SQRT(SUM((OFFSET(Factors,VALUE(RIGHT(O$34,2)),1,1,68)-$R111:$CG111)^2)))</f>
        <v>None</v>
      </c>
      <c r="Q111" s="10" t="s">
        <v>66</v>
      </c>
      <c r="R111" s="11">
        <v>0</v>
      </c>
      <c r="S111" s="11">
        <v>0</v>
      </c>
      <c r="T111" s="11">
        <v>0</v>
      </c>
      <c r="U111" s="11">
        <v>0</v>
      </c>
      <c r="V111" s="11">
        <v>0</v>
      </c>
      <c r="W111" s="11">
        <v>1</v>
      </c>
      <c r="X111" s="11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1</v>
      </c>
      <c r="AG111" s="11">
        <v>0</v>
      </c>
      <c r="AH111" s="11">
        <v>1</v>
      </c>
      <c r="AI111" s="11">
        <v>0</v>
      </c>
      <c r="AJ111" s="11">
        <v>0</v>
      </c>
      <c r="AK111" s="11">
        <v>0</v>
      </c>
      <c r="AL111" s="11">
        <v>0</v>
      </c>
      <c r="AM111" s="11">
        <v>0</v>
      </c>
      <c r="AN111" s="11">
        <v>0</v>
      </c>
      <c r="AO111" s="11">
        <v>0</v>
      </c>
      <c r="AP111" s="11">
        <v>0</v>
      </c>
      <c r="AQ111" s="11">
        <v>0</v>
      </c>
      <c r="AR111" s="11">
        <v>1</v>
      </c>
      <c r="AS111" s="11">
        <v>0</v>
      </c>
      <c r="AT111" s="11">
        <v>0</v>
      </c>
      <c r="AU111" s="11">
        <v>0</v>
      </c>
      <c r="AV111" s="11">
        <v>0</v>
      </c>
      <c r="AW111" s="11">
        <v>1</v>
      </c>
      <c r="AX111" s="11">
        <v>0</v>
      </c>
      <c r="AY111" s="11">
        <v>0</v>
      </c>
      <c r="AZ111" s="11">
        <v>0</v>
      </c>
      <c r="BA111" s="11">
        <v>1</v>
      </c>
      <c r="BB111" s="11">
        <v>0</v>
      </c>
      <c r="BC111" s="11">
        <v>0</v>
      </c>
      <c r="BD111" s="11">
        <v>0</v>
      </c>
      <c r="BE111" s="11">
        <v>0</v>
      </c>
      <c r="BF111" s="11">
        <v>0</v>
      </c>
      <c r="BG111" s="11">
        <v>1</v>
      </c>
      <c r="BH111" s="11">
        <v>0</v>
      </c>
      <c r="BI111" s="11">
        <v>1</v>
      </c>
      <c r="BJ111" s="11">
        <v>1</v>
      </c>
      <c r="BK111" s="11">
        <v>0</v>
      </c>
      <c r="BL111" s="11">
        <v>0</v>
      </c>
      <c r="BM111" s="11">
        <v>0</v>
      </c>
      <c r="BN111" s="11">
        <v>0</v>
      </c>
      <c r="BO111" s="11">
        <v>0</v>
      </c>
      <c r="BP111" s="11">
        <v>0</v>
      </c>
      <c r="BQ111" s="11">
        <v>0</v>
      </c>
      <c r="BR111" s="11">
        <v>0</v>
      </c>
      <c r="BS111" s="11">
        <v>1</v>
      </c>
      <c r="BT111" s="11">
        <v>0</v>
      </c>
      <c r="BU111" s="11">
        <v>0</v>
      </c>
      <c r="BV111" s="11">
        <v>0</v>
      </c>
      <c r="BW111" s="11">
        <v>0</v>
      </c>
      <c r="BX111" s="11">
        <v>0</v>
      </c>
      <c r="BY111" s="11">
        <v>0</v>
      </c>
      <c r="BZ111" s="11">
        <v>0</v>
      </c>
      <c r="CA111" s="11">
        <v>0</v>
      </c>
      <c r="CB111" s="11">
        <v>0</v>
      </c>
      <c r="CC111" s="11">
        <v>1</v>
      </c>
      <c r="CD111" s="11">
        <v>0</v>
      </c>
      <c r="CE111" s="11">
        <v>0</v>
      </c>
      <c r="CF111" s="11">
        <v>0</v>
      </c>
      <c r="CG111" s="11">
        <v>0</v>
      </c>
      <c r="CH111" s="11">
        <f ca="1">E111</f>
        <v>4</v>
      </c>
    </row>
    <row r="112" spans="4:86" x14ac:dyDescent="0.3">
      <c r="D112" s="11">
        <v>3</v>
      </c>
      <c r="E112" s="11">
        <f t="shared" ca="1" si="15"/>
        <v>4</v>
      </c>
      <c r="F112" s="10">
        <f t="array" aca="1" ref="F112" ca="1">IF(SUM(OFFSET(Factors,VALUE(RIGHT(F$34,2)),1,1,68))=0,"None",SQRT(SUM((OFFSET(Factors,VALUE(RIGHT(F$34,2)),1,1,68)-$R112:$CG112)^2)))</f>
        <v>3.0376686052885291</v>
      </c>
      <c r="G112" s="10">
        <f t="array" aca="1" ref="G112" ca="1">IF(SUM(OFFSET(Factors,VALUE(RIGHT(G$34,2)),1,1,68))=0,"None",SQRT(SUM((OFFSET(Factors,VALUE(RIGHT(G$34,2)),1,1,68)-$R112:$CG112)^2)))</f>
        <v>2.8884589777720913</v>
      </c>
      <c r="H112" s="10">
        <f t="array" aca="1" ref="H112" ca="1">IF(SUM(OFFSET(Factors,VALUE(RIGHT(H$34,2)),1,1,68))=0,"None",SQRT(SUM((OFFSET(Factors,VALUE(RIGHT(H$34,2)),1,1,68)-$R112:$CG112)^2)))</f>
        <v>3.2342244220920642</v>
      </c>
      <c r="I112" s="10">
        <f t="array" aca="1" ref="I112" ca="1">IF(SUM(OFFSET(Factors,VALUE(RIGHT(I$34,2)),1,1,68))=0,"None",SQRT(SUM((OFFSET(Factors,VALUE(RIGHT(I$34,2)),1,1,68)-$R112:$CG112)^2)))</f>
        <v>2.8082670165715431</v>
      </c>
      <c r="J112" s="10">
        <f t="array" aca="1" ref="J112" ca="1">IF(SUM(OFFSET(Factors,VALUE(RIGHT(J$34,2)),1,1,68))=0,"None",SQRT(SUM((OFFSET(Factors,VALUE(RIGHT(J$34,2)),1,1,68)-$R112:$CG112)^2)))</f>
        <v>3.3387872049593095</v>
      </c>
      <c r="K112" s="10" t="str">
        <f t="array" aca="1" ref="K112" ca="1">IF(SUM(OFFSET(Factors,VALUE(RIGHT(K$34,2)),1,1,68))=0,"None",SQRT(SUM((OFFSET(Factors,VALUE(RIGHT(K$34,2)),1,1,68)-$R112:$CG112)^2)))</f>
        <v>None</v>
      </c>
      <c r="L112" s="10" t="str">
        <f t="array" aca="1" ref="L112" ca="1">IF(SUM(OFFSET(Factors,VALUE(RIGHT(L$34,2)),1,1,68))=0,"None",SQRT(SUM((OFFSET(Factors,VALUE(RIGHT(L$34,2)),1,1,68)-$R112:$CG112)^2)))</f>
        <v>None</v>
      </c>
      <c r="M112" s="10" t="str">
        <f t="array" aca="1" ref="M112" ca="1">IF(SUM(OFFSET(Factors,VALUE(RIGHT(M$34,2)),1,1,68))=0,"None",SQRT(SUM((OFFSET(Factors,VALUE(RIGHT(M$34,2)),1,1,68)-$R112:$CG112)^2)))</f>
        <v>None</v>
      </c>
      <c r="N112" s="10" t="str">
        <f t="array" aca="1" ref="N112" ca="1">IF(SUM(OFFSET(Factors,VALUE(RIGHT(N$34,2)),1,1,68))=0,"None",SQRT(SUM((OFFSET(Factors,VALUE(RIGHT(N$34,2)),1,1,68)-$R112:$CG112)^2)))</f>
        <v>None</v>
      </c>
      <c r="O112" s="10" t="str">
        <f t="array" aca="1" ref="O112" ca="1">IF(SUM(OFFSET(Factors,VALUE(RIGHT(O$34,2)),1,1,68))=0,"None",SQRT(SUM((OFFSET(Factors,VALUE(RIGHT(O$34,2)),1,1,68)-$R112:$CG112)^2)))</f>
        <v>None</v>
      </c>
      <c r="Q112" s="10" t="s">
        <v>62</v>
      </c>
      <c r="R112" s="11">
        <v>0</v>
      </c>
      <c r="S112" s="11">
        <v>0</v>
      </c>
      <c r="T112" s="11">
        <v>0</v>
      </c>
      <c r="U112" s="11">
        <v>0</v>
      </c>
      <c r="V112" s="11">
        <v>0</v>
      </c>
      <c r="W112" s="11">
        <v>1</v>
      </c>
      <c r="X112" s="11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1</v>
      </c>
      <c r="AG112" s="11">
        <v>0</v>
      </c>
      <c r="AH112" s="11">
        <v>0</v>
      </c>
      <c r="AI112" s="11">
        <v>1</v>
      </c>
      <c r="AJ112" s="11">
        <v>0</v>
      </c>
      <c r="AK112" s="11">
        <v>0</v>
      </c>
      <c r="AL112" s="11">
        <v>0</v>
      </c>
      <c r="AM112" s="11">
        <v>0</v>
      </c>
      <c r="AN112" s="11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1</v>
      </c>
      <c r="AT112" s="11">
        <v>0</v>
      </c>
      <c r="AU112" s="11">
        <v>0</v>
      </c>
      <c r="AV112" s="11">
        <v>0</v>
      </c>
      <c r="AW112" s="11">
        <v>1</v>
      </c>
      <c r="AX112" s="11">
        <v>0</v>
      </c>
      <c r="AY112" s="11">
        <v>0</v>
      </c>
      <c r="AZ112" s="11">
        <v>0</v>
      </c>
      <c r="BA112" s="11">
        <v>0</v>
      </c>
      <c r="BB112" s="11">
        <v>0</v>
      </c>
      <c r="BC112" s="11">
        <v>0</v>
      </c>
      <c r="BD112" s="11">
        <v>0</v>
      </c>
      <c r="BE112" s="11">
        <v>0</v>
      </c>
      <c r="BF112" s="11">
        <v>0</v>
      </c>
      <c r="BG112" s="11">
        <v>1</v>
      </c>
      <c r="BH112" s="11">
        <v>1</v>
      </c>
      <c r="BI112" s="11">
        <v>1</v>
      </c>
      <c r="BJ112" s="11">
        <v>0</v>
      </c>
      <c r="BK112" s="11">
        <v>0</v>
      </c>
      <c r="BL112" s="11">
        <v>0</v>
      </c>
      <c r="BM112" s="11">
        <v>0</v>
      </c>
      <c r="BN112" s="11">
        <v>1</v>
      </c>
      <c r="BO112" s="11">
        <v>0</v>
      </c>
      <c r="BP112" s="11">
        <v>1</v>
      </c>
      <c r="BQ112" s="11">
        <v>0</v>
      </c>
      <c r="BR112" s="11">
        <v>0</v>
      </c>
      <c r="BS112" s="11">
        <v>1</v>
      </c>
      <c r="BT112" s="11">
        <v>0</v>
      </c>
      <c r="BU112" s="11">
        <v>0</v>
      </c>
      <c r="BV112" s="11">
        <v>0</v>
      </c>
      <c r="BW112" s="11">
        <v>0</v>
      </c>
      <c r="BX112" s="11">
        <v>0</v>
      </c>
      <c r="BY112" s="11">
        <v>0</v>
      </c>
      <c r="BZ112" s="11">
        <v>0</v>
      </c>
      <c r="CA112" s="11">
        <v>0</v>
      </c>
      <c r="CB112" s="11">
        <v>0</v>
      </c>
      <c r="CC112" s="11">
        <v>0</v>
      </c>
      <c r="CD112" s="11">
        <v>0</v>
      </c>
      <c r="CE112" s="11">
        <v>0</v>
      </c>
      <c r="CF112" s="11">
        <v>0</v>
      </c>
      <c r="CG112" s="11">
        <v>0</v>
      </c>
      <c r="CH112" s="11">
        <f ca="1">E112</f>
        <v>4</v>
      </c>
    </row>
    <row r="113" spans="4:86" x14ac:dyDescent="0.3">
      <c r="D113" s="11">
        <v>3</v>
      </c>
      <c r="E113" s="11">
        <f t="shared" ca="1" si="15"/>
        <v>4</v>
      </c>
      <c r="F113" s="10">
        <f t="array" aca="1" ref="F113" ca="1">IF(SUM(OFFSET(Factors,VALUE(RIGHT(F$34,2)),1,1,68))=0,"None",SQRT(SUM((OFFSET(Factors,VALUE(RIGHT(F$34,2)),1,1,68)-$R113:$CG113)^2)))</f>
        <v>2.9962360647244659</v>
      </c>
      <c r="G113" s="10">
        <f t="array" aca="1" ref="G113" ca="1">IF(SUM(OFFSET(Factors,VALUE(RIGHT(G$34,2)),1,1,68))=0,"None",SQRT(SUM((OFFSET(Factors,VALUE(RIGHT(G$34,2)),1,1,68)-$R113:$CG113)^2)))</f>
        <v>3.0186795185151674</v>
      </c>
      <c r="H113" s="10">
        <f t="array" aca="1" ref="H113" ca="1">IF(SUM(OFFSET(Factors,VALUE(RIGHT(H$34,2)),1,1,68))=0,"None",SQRT(SUM((OFFSET(Factors,VALUE(RIGHT(H$34,2)),1,1,68)-$R113:$CG113)^2)))</f>
        <v>3.2251176851465408</v>
      </c>
      <c r="I113" s="10">
        <f t="array" aca="1" ref="I113" ca="1">IF(SUM(OFFSET(Factors,VALUE(RIGHT(I$34,2)),1,1,68))=0,"None",SQRT(SUM((OFFSET(Factors,VALUE(RIGHT(I$34,2)),1,1,68)-$R113:$CG113)^2)))</f>
        <v>2.5539630523418446</v>
      </c>
      <c r="J113" s="10">
        <f t="array" aca="1" ref="J113" ca="1">IF(SUM(OFFSET(Factors,VALUE(RIGHT(J$34,2)),1,1,68))=0,"None",SQRT(SUM((OFFSET(Factors,VALUE(RIGHT(J$34,2)),1,1,68)-$R113:$CG113)^2)))</f>
        <v>3.106042498099471</v>
      </c>
      <c r="K113" s="10" t="str">
        <f t="array" aca="1" ref="K113" ca="1">IF(SUM(OFFSET(Factors,VALUE(RIGHT(K$34,2)),1,1,68))=0,"None",SQRT(SUM((OFFSET(Factors,VALUE(RIGHT(K$34,2)),1,1,68)-$R113:$CG113)^2)))</f>
        <v>None</v>
      </c>
      <c r="L113" s="10" t="str">
        <f t="array" aca="1" ref="L113" ca="1">IF(SUM(OFFSET(Factors,VALUE(RIGHT(L$34,2)),1,1,68))=0,"None",SQRT(SUM((OFFSET(Factors,VALUE(RIGHT(L$34,2)),1,1,68)-$R113:$CG113)^2)))</f>
        <v>None</v>
      </c>
      <c r="M113" s="10" t="str">
        <f t="array" aca="1" ref="M113" ca="1">IF(SUM(OFFSET(Factors,VALUE(RIGHT(M$34,2)),1,1,68))=0,"None",SQRT(SUM((OFFSET(Factors,VALUE(RIGHT(M$34,2)),1,1,68)-$R113:$CG113)^2)))</f>
        <v>None</v>
      </c>
      <c r="N113" s="10" t="str">
        <f t="array" aca="1" ref="N113" ca="1">IF(SUM(OFFSET(Factors,VALUE(RIGHT(N$34,2)),1,1,68))=0,"None",SQRT(SUM((OFFSET(Factors,VALUE(RIGHT(N$34,2)),1,1,68)-$R113:$CG113)^2)))</f>
        <v>None</v>
      </c>
      <c r="O113" s="10" t="str">
        <f t="array" aca="1" ref="O113" ca="1">IF(SUM(OFFSET(Factors,VALUE(RIGHT(O$34,2)),1,1,68))=0,"None",SQRT(SUM((OFFSET(Factors,VALUE(RIGHT(O$34,2)),1,1,68)-$R113:$CG113)^2)))</f>
        <v>None</v>
      </c>
      <c r="Q113" s="10" t="s">
        <v>56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1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1</v>
      </c>
      <c r="AG113" s="11">
        <v>0</v>
      </c>
      <c r="AH113" s="11">
        <v>1</v>
      </c>
      <c r="AI113" s="11">
        <v>0</v>
      </c>
      <c r="AJ113" s="11">
        <v>0</v>
      </c>
      <c r="AK113" s="11">
        <v>1</v>
      </c>
      <c r="AL113" s="11">
        <v>0</v>
      </c>
      <c r="AM113" s="11">
        <v>0</v>
      </c>
      <c r="AN113" s="11">
        <v>0</v>
      </c>
      <c r="AO113" s="11">
        <v>0</v>
      </c>
      <c r="AP113" s="11">
        <v>0</v>
      </c>
      <c r="AQ113" s="11">
        <v>0</v>
      </c>
      <c r="AR113" s="11">
        <v>1</v>
      </c>
      <c r="AS113" s="11">
        <v>1</v>
      </c>
      <c r="AT113" s="11">
        <v>0</v>
      </c>
      <c r="AU113" s="11">
        <v>0</v>
      </c>
      <c r="AV113" s="11">
        <v>1</v>
      </c>
      <c r="AW113" s="11">
        <v>1</v>
      </c>
      <c r="AX113" s="11">
        <v>0</v>
      </c>
      <c r="AY113" s="11">
        <v>0</v>
      </c>
      <c r="AZ113" s="11">
        <v>0</v>
      </c>
      <c r="BA113" s="11">
        <v>1</v>
      </c>
      <c r="BB113" s="11">
        <v>0</v>
      </c>
      <c r="BC113" s="11">
        <v>0</v>
      </c>
      <c r="BD113" s="11">
        <v>0</v>
      </c>
      <c r="BE113" s="11">
        <v>1</v>
      </c>
      <c r="BF113" s="11">
        <v>0</v>
      </c>
      <c r="BG113" s="11">
        <v>0</v>
      </c>
      <c r="BH113" s="11">
        <v>0</v>
      </c>
      <c r="BI113" s="11">
        <v>0</v>
      </c>
      <c r="BJ113" s="11">
        <v>1</v>
      </c>
      <c r="BK113" s="11">
        <v>0</v>
      </c>
      <c r="BL113" s="11">
        <v>0</v>
      </c>
      <c r="BM113" s="11">
        <v>0</v>
      </c>
      <c r="BN113" s="11">
        <v>0</v>
      </c>
      <c r="BO113" s="11">
        <v>0</v>
      </c>
      <c r="BP113" s="11">
        <v>1</v>
      </c>
      <c r="BQ113" s="11">
        <v>0</v>
      </c>
      <c r="BR113" s="11">
        <v>0</v>
      </c>
      <c r="BS113" s="11">
        <v>0</v>
      </c>
      <c r="BT113" s="11">
        <v>0</v>
      </c>
      <c r="BU113" s="11">
        <v>1</v>
      </c>
      <c r="BV113" s="11">
        <v>0</v>
      </c>
      <c r="BW113" s="11">
        <v>0</v>
      </c>
      <c r="BX113" s="11">
        <v>0</v>
      </c>
      <c r="BY113" s="11">
        <v>1</v>
      </c>
      <c r="BZ113" s="11">
        <v>0</v>
      </c>
      <c r="CA113" s="11">
        <v>0</v>
      </c>
      <c r="CB113" s="11">
        <v>0</v>
      </c>
      <c r="CC113" s="11">
        <v>0</v>
      </c>
      <c r="CD113" s="11">
        <v>0</v>
      </c>
      <c r="CE113" s="11">
        <v>0</v>
      </c>
      <c r="CF113" s="11">
        <v>0</v>
      </c>
      <c r="CG113" s="11">
        <v>0</v>
      </c>
      <c r="CH113" s="11">
        <f ca="1">E113</f>
        <v>4</v>
      </c>
    </row>
    <row r="114" spans="4:86" x14ac:dyDescent="0.3">
      <c r="D114" s="11">
        <v>5</v>
      </c>
      <c r="E114" s="11">
        <f t="shared" ca="1" si="15"/>
        <v>4</v>
      </c>
      <c r="F114" s="10">
        <f t="array" aca="1" ref="F114" ca="1">IF(SUM(OFFSET(Factors,VALUE(RIGHT(F$34,2)),1,1,68))=0,"None",SQRT(SUM((OFFSET(Factors,VALUE(RIGHT(F$34,2)),1,1,68)-$R114:$CG114)^2)))</f>
        <v>3.2368859349003269</v>
      </c>
      <c r="G114" s="10">
        <f t="array" aca="1" ref="G114" ca="1">IF(SUM(OFFSET(Factors,VALUE(RIGHT(G$34,2)),1,1,68))=0,"None",SQRT(SUM((OFFSET(Factors,VALUE(RIGHT(G$34,2)),1,1,68)-$R114:$CG114)^2)))</f>
        <v>3.0313939223443125</v>
      </c>
      <c r="H114" s="10">
        <f t="array" aca="1" ref="H114" ca="1">IF(SUM(OFFSET(Factors,VALUE(RIGHT(H$34,2)),1,1,68))=0,"None",SQRT(SUM((OFFSET(Factors,VALUE(RIGHT(H$34,2)),1,1,68)-$R114:$CG114)^2)))</f>
        <v>3.4455728577899931</v>
      </c>
      <c r="I114" s="10">
        <f t="array" aca="1" ref="I114" ca="1">IF(SUM(OFFSET(Factors,VALUE(RIGHT(I$34,2)),1,1,68))=0,"None",SQRT(SUM((OFFSET(Factors,VALUE(RIGHT(I$34,2)),1,1,68)-$R114:$CG114)^2)))</f>
        <v>2.6241881861565561</v>
      </c>
      <c r="J114" s="10">
        <f t="array" aca="1" ref="J114" ca="1">IF(SUM(OFFSET(Factors,VALUE(RIGHT(J$34,2)),1,1,68))=0,"None",SQRT(SUM((OFFSET(Factors,VALUE(RIGHT(J$34,2)),1,1,68)-$R114:$CG114)^2)))</f>
        <v>3.2935543110748911</v>
      </c>
      <c r="K114" s="10" t="str">
        <f t="array" aca="1" ref="K114" ca="1">IF(SUM(OFFSET(Factors,VALUE(RIGHT(K$34,2)),1,1,68))=0,"None",SQRT(SUM((OFFSET(Factors,VALUE(RIGHT(K$34,2)),1,1,68)-$R114:$CG114)^2)))</f>
        <v>None</v>
      </c>
      <c r="L114" s="10" t="str">
        <f t="array" aca="1" ref="L114" ca="1">IF(SUM(OFFSET(Factors,VALUE(RIGHT(L$34,2)),1,1,68))=0,"None",SQRT(SUM((OFFSET(Factors,VALUE(RIGHT(L$34,2)),1,1,68)-$R114:$CG114)^2)))</f>
        <v>None</v>
      </c>
      <c r="M114" s="10" t="str">
        <f t="array" aca="1" ref="M114" ca="1">IF(SUM(OFFSET(Factors,VALUE(RIGHT(M$34,2)),1,1,68))=0,"None",SQRT(SUM((OFFSET(Factors,VALUE(RIGHT(M$34,2)),1,1,68)-$R114:$CG114)^2)))</f>
        <v>None</v>
      </c>
      <c r="N114" s="10" t="str">
        <f t="array" aca="1" ref="N114" ca="1">IF(SUM(OFFSET(Factors,VALUE(RIGHT(N$34,2)),1,1,68))=0,"None",SQRT(SUM((OFFSET(Factors,VALUE(RIGHT(N$34,2)),1,1,68)-$R114:$CG114)^2)))</f>
        <v>None</v>
      </c>
      <c r="O114" s="10" t="str">
        <f t="array" aca="1" ref="O114" ca="1">IF(SUM(OFFSET(Factors,VALUE(RIGHT(O$34,2)),1,1,68))=0,"None",SQRT(SUM((OFFSET(Factors,VALUE(RIGHT(O$34,2)),1,1,68)-$R114:$CG114)^2)))</f>
        <v>None</v>
      </c>
      <c r="Q114" s="10" t="s">
        <v>54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1</v>
      </c>
      <c r="AG114" s="11">
        <v>0</v>
      </c>
      <c r="AH114" s="11">
        <v>1</v>
      </c>
      <c r="AI114" s="11">
        <v>1</v>
      </c>
      <c r="AJ114" s="11">
        <v>1</v>
      </c>
      <c r="AK114" s="11">
        <v>0</v>
      </c>
      <c r="AL114" s="11">
        <v>1</v>
      </c>
      <c r="AM114" s="11">
        <v>0</v>
      </c>
      <c r="AN114" s="11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1">
        <v>0</v>
      </c>
      <c r="AV114" s="11">
        <v>1</v>
      </c>
      <c r="AW114" s="11">
        <v>1</v>
      </c>
      <c r="AX114" s="11">
        <v>1</v>
      </c>
      <c r="AY114" s="11">
        <v>0</v>
      </c>
      <c r="AZ114" s="11">
        <v>0</v>
      </c>
      <c r="BA114" s="11">
        <v>1</v>
      </c>
      <c r="BB114" s="11">
        <v>0</v>
      </c>
      <c r="BC114" s="11">
        <v>0</v>
      </c>
      <c r="BD114" s="11">
        <v>0</v>
      </c>
      <c r="BE114" s="11">
        <v>0</v>
      </c>
      <c r="BF114" s="11">
        <v>0</v>
      </c>
      <c r="BG114" s="11">
        <v>1</v>
      </c>
      <c r="BH114" s="11">
        <v>0</v>
      </c>
      <c r="BI114" s="11">
        <v>1</v>
      </c>
      <c r="BJ114" s="11">
        <v>1</v>
      </c>
      <c r="BK114" s="11">
        <v>0</v>
      </c>
      <c r="BL114" s="11">
        <v>0</v>
      </c>
      <c r="BM114" s="11">
        <v>0</v>
      </c>
      <c r="BN114" s="11">
        <v>0</v>
      </c>
      <c r="BO114" s="11">
        <v>0</v>
      </c>
      <c r="BP114" s="11">
        <v>1</v>
      </c>
      <c r="BQ114" s="11">
        <v>0</v>
      </c>
      <c r="BR114" s="11">
        <v>0</v>
      </c>
      <c r="BS114" s="11">
        <v>0</v>
      </c>
      <c r="BT114" s="11">
        <v>0</v>
      </c>
      <c r="BU114" s="11">
        <v>0</v>
      </c>
      <c r="BV114" s="11">
        <v>0</v>
      </c>
      <c r="BW114" s="11">
        <v>0</v>
      </c>
      <c r="BX114" s="11">
        <v>1</v>
      </c>
      <c r="BY114" s="11">
        <v>0</v>
      </c>
      <c r="BZ114" s="11">
        <v>0</v>
      </c>
      <c r="CA114" s="11">
        <v>0</v>
      </c>
      <c r="CB114" s="11">
        <v>0</v>
      </c>
      <c r="CC114" s="11">
        <v>0</v>
      </c>
      <c r="CD114" s="11">
        <v>0</v>
      </c>
      <c r="CE114" s="11">
        <v>0</v>
      </c>
      <c r="CF114" s="11">
        <v>0</v>
      </c>
      <c r="CG114" s="11">
        <v>0</v>
      </c>
      <c r="CH114" s="11">
        <f ca="1">E114</f>
        <v>4</v>
      </c>
    </row>
    <row r="115" spans="4:86" x14ac:dyDescent="0.3">
      <c r="D115" s="11">
        <v>1</v>
      </c>
      <c r="E115" s="11">
        <f t="shared" ca="1" si="15"/>
        <v>4</v>
      </c>
      <c r="F115" s="10">
        <f t="array" aca="1" ref="F115" ca="1">IF(SUM(OFFSET(Factors,VALUE(RIGHT(F$34,2)),1,1,68))=0,"None",SQRT(SUM((OFFSET(Factors,VALUE(RIGHT(F$34,2)),1,1,68)-$R115:$CG115)^2)))</f>
        <v>3.4608424632675145</v>
      </c>
      <c r="G115" s="10">
        <f t="array" aca="1" ref="G115" ca="1">IF(SUM(OFFSET(Factors,VALUE(RIGHT(G$34,2)),1,1,68))=0,"None",SQRT(SUM((OFFSET(Factors,VALUE(RIGHT(G$34,2)),1,1,68)-$R115:$CG115)^2)))</f>
        <v>3.2753336701605797</v>
      </c>
      <c r="H115" s="10">
        <f t="array" aca="1" ref="H115" ca="1">IF(SUM(OFFSET(Factors,VALUE(RIGHT(H$34,2)),1,1,68))=0,"None",SQRT(SUM((OFFSET(Factors,VALUE(RIGHT(H$34,2)),1,1,68)-$R115:$CG115)^2)))</f>
        <v>3.4284581460936003</v>
      </c>
      <c r="I115" s="10">
        <f t="array" aca="1" ref="I115" ca="1">IF(SUM(OFFSET(Factors,VALUE(RIGHT(I$34,2)),1,1,68))=0,"None",SQRT(SUM((OFFSET(Factors,VALUE(RIGHT(I$34,2)),1,1,68)-$R115:$CG115)^2)))</f>
        <v>2.9503466668419587</v>
      </c>
      <c r="J115" s="10">
        <f t="array" aca="1" ref="J115" ca="1">IF(SUM(OFFSET(Factors,VALUE(RIGHT(J$34,2)),1,1,68))=0,"None",SQRT(SUM((OFFSET(Factors,VALUE(RIGHT(J$34,2)),1,1,68)-$R115:$CG115)^2)))</f>
        <v>3.2630507198019467</v>
      </c>
      <c r="K115" s="10" t="str">
        <f t="array" aca="1" ref="K115" ca="1">IF(SUM(OFFSET(Factors,VALUE(RIGHT(K$34,2)),1,1,68))=0,"None",SQRT(SUM((OFFSET(Factors,VALUE(RIGHT(K$34,2)),1,1,68)-$R115:$CG115)^2)))</f>
        <v>None</v>
      </c>
      <c r="L115" s="10" t="str">
        <f t="array" aca="1" ref="L115" ca="1">IF(SUM(OFFSET(Factors,VALUE(RIGHT(L$34,2)),1,1,68))=0,"None",SQRT(SUM((OFFSET(Factors,VALUE(RIGHT(L$34,2)),1,1,68)-$R115:$CG115)^2)))</f>
        <v>None</v>
      </c>
      <c r="M115" s="10" t="str">
        <f t="array" aca="1" ref="M115" ca="1">IF(SUM(OFFSET(Factors,VALUE(RIGHT(M$34,2)),1,1,68))=0,"None",SQRT(SUM((OFFSET(Factors,VALUE(RIGHT(M$34,2)),1,1,68)-$R115:$CG115)^2)))</f>
        <v>None</v>
      </c>
      <c r="N115" s="10" t="str">
        <f t="array" aca="1" ref="N115" ca="1">IF(SUM(OFFSET(Factors,VALUE(RIGHT(N$34,2)),1,1,68))=0,"None",SQRT(SUM((OFFSET(Factors,VALUE(RIGHT(N$34,2)),1,1,68)-$R115:$CG115)^2)))</f>
        <v>None</v>
      </c>
      <c r="O115" s="10" t="str">
        <f t="array" aca="1" ref="O115" ca="1">IF(SUM(OFFSET(Factors,VALUE(RIGHT(O$34,2)),1,1,68))=0,"None",SQRT(SUM((OFFSET(Factors,VALUE(RIGHT(O$34,2)),1,1,68)-$R115:$CG115)^2)))</f>
        <v>None</v>
      </c>
      <c r="Q115" s="10" t="s">
        <v>48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1</v>
      </c>
      <c r="Z115" s="11">
        <v>0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v>0</v>
      </c>
      <c r="AG115" s="11">
        <v>0</v>
      </c>
      <c r="AH115" s="11">
        <v>1</v>
      </c>
      <c r="AI115" s="11">
        <v>0</v>
      </c>
      <c r="AJ115" s="11">
        <v>1</v>
      </c>
      <c r="AK115" s="11">
        <v>1</v>
      </c>
      <c r="AL115" s="11">
        <v>1</v>
      </c>
      <c r="AM115" s="11">
        <v>0</v>
      </c>
      <c r="AN115" s="11">
        <v>0</v>
      </c>
      <c r="AO115" s="11">
        <v>1</v>
      </c>
      <c r="AP115" s="11">
        <v>0</v>
      </c>
      <c r="AQ115" s="11">
        <v>0</v>
      </c>
      <c r="AR115" s="11">
        <v>0</v>
      </c>
      <c r="AS115" s="11">
        <v>1</v>
      </c>
      <c r="AT115" s="11">
        <v>0</v>
      </c>
      <c r="AU115" s="11">
        <v>1</v>
      </c>
      <c r="AV115" s="11">
        <v>1</v>
      </c>
      <c r="AW115" s="11">
        <v>1</v>
      </c>
      <c r="AX115" s="11">
        <v>0</v>
      </c>
      <c r="AY115" s="11">
        <v>0</v>
      </c>
      <c r="AZ115" s="11">
        <v>0</v>
      </c>
      <c r="BA115" s="11">
        <v>1</v>
      </c>
      <c r="BB115" s="11">
        <v>0</v>
      </c>
      <c r="BC115" s="11">
        <v>0</v>
      </c>
      <c r="BD115" s="11">
        <v>0</v>
      </c>
      <c r="BE115" s="11">
        <v>0</v>
      </c>
      <c r="BF115" s="11">
        <v>1</v>
      </c>
      <c r="BG115" s="11">
        <v>1</v>
      </c>
      <c r="BH115" s="11">
        <v>0</v>
      </c>
      <c r="BI115" s="11">
        <v>0</v>
      </c>
      <c r="BJ115" s="11">
        <v>1</v>
      </c>
      <c r="BK115" s="11">
        <v>0</v>
      </c>
      <c r="BL115" s="11">
        <v>0</v>
      </c>
      <c r="BM115" s="11">
        <v>0</v>
      </c>
      <c r="BN115" s="11">
        <v>0</v>
      </c>
      <c r="BO115" s="11">
        <v>0</v>
      </c>
      <c r="BP115" s="11">
        <v>0</v>
      </c>
      <c r="BQ115" s="11">
        <v>1</v>
      </c>
      <c r="BR115" s="11">
        <v>0</v>
      </c>
      <c r="BS115" s="11">
        <v>0</v>
      </c>
      <c r="BT115" s="11">
        <v>0</v>
      </c>
      <c r="BU115" s="11">
        <v>0</v>
      </c>
      <c r="BV115" s="11">
        <v>0</v>
      </c>
      <c r="BW115" s="11">
        <v>0</v>
      </c>
      <c r="BX115" s="11">
        <v>0</v>
      </c>
      <c r="BY115" s="11">
        <v>0</v>
      </c>
      <c r="BZ115" s="11">
        <v>0</v>
      </c>
      <c r="CA115" s="11">
        <v>0</v>
      </c>
      <c r="CB115" s="11">
        <v>0</v>
      </c>
      <c r="CC115" s="11">
        <v>1</v>
      </c>
      <c r="CD115" s="11">
        <v>0</v>
      </c>
      <c r="CE115" s="11">
        <v>1</v>
      </c>
      <c r="CF115" s="11">
        <v>0</v>
      </c>
      <c r="CG115" s="11">
        <v>0</v>
      </c>
      <c r="CH115" s="11">
        <f ca="1">E115</f>
        <v>4</v>
      </c>
    </row>
    <row r="116" spans="4:86" x14ac:dyDescent="0.3">
      <c r="D116" s="11">
        <v>1</v>
      </c>
      <c r="E116" s="11">
        <f t="shared" ca="1" si="15"/>
        <v>4</v>
      </c>
      <c r="F116" s="10">
        <f t="array" aca="1" ref="F116" ca="1">IF(SUM(OFFSET(Factors,VALUE(RIGHT(F$34,2)),1,1,68))=0,"None",SQRT(SUM((OFFSET(Factors,VALUE(RIGHT(F$34,2)),1,1,68)-$R116:$CG116)^2)))</f>
        <v>3.6937917134324487</v>
      </c>
      <c r="G116" s="10">
        <f t="array" aca="1" ref="G116" ca="1">IF(SUM(OFFSET(Factors,VALUE(RIGHT(G$34,2)),1,1,68))=0,"None",SQRT(SUM((OFFSET(Factors,VALUE(RIGHT(G$34,2)),1,1,68)-$R116:$CG116)^2)))</f>
        <v>3.4469779234473967</v>
      </c>
      <c r="H116" s="10">
        <f t="array" aca="1" ref="H116" ca="1">IF(SUM(OFFSET(Factors,VALUE(RIGHT(H$34,2)),1,1,68))=0,"None",SQRT(SUM((OFFSET(Factors,VALUE(RIGHT(H$34,2)),1,1,68)-$R116:$CG116)^2)))</f>
        <v>3.3852928399854489</v>
      </c>
      <c r="I116" s="10">
        <f t="array" aca="1" ref="I116" ca="1">IF(SUM(OFFSET(Factors,VALUE(RIGHT(I$34,2)),1,1,68))=0,"None",SQRT(SUM((OFFSET(Factors,VALUE(RIGHT(I$34,2)),1,1,68)-$R116:$CG116)^2)))</f>
        <v>2.9657131596724842</v>
      </c>
      <c r="J116" s="10">
        <f t="array" aca="1" ref="J116" ca="1">IF(SUM(OFFSET(Factors,VALUE(RIGHT(J$34,2)),1,1,68))=0,"None",SQRT(SUM((OFFSET(Factors,VALUE(RIGHT(J$34,2)),1,1,68)-$R116:$CG116)^2)))</f>
        <v>3.5281014724636255</v>
      </c>
      <c r="K116" s="10" t="str">
        <f t="array" aca="1" ref="K116" ca="1">IF(SUM(OFFSET(Factors,VALUE(RIGHT(K$34,2)),1,1,68))=0,"None",SQRT(SUM((OFFSET(Factors,VALUE(RIGHT(K$34,2)),1,1,68)-$R116:$CG116)^2)))</f>
        <v>None</v>
      </c>
      <c r="L116" s="10" t="str">
        <f t="array" aca="1" ref="L116" ca="1">IF(SUM(OFFSET(Factors,VALUE(RIGHT(L$34,2)),1,1,68))=0,"None",SQRT(SUM((OFFSET(Factors,VALUE(RIGHT(L$34,2)),1,1,68)-$R116:$CG116)^2)))</f>
        <v>None</v>
      </c>
      <c r="M116" s="10" t="str">
        <f t="array" aca="1" ref="M116" ca="1">IF(SUM(OFFSET(Factors,VALUE(RIGHT(M$34,2)),1,1,68))=0,"None",SQRT(SUM((OFFSET(Factors,VALUE(RIGHT(M$34,2)),1,1,68)-$R116:$CG116)^2)))</f>
        <v>None</v>
      </c>
      <c r="N116" s="10" t="str">
        <f t="array" aca="1" ref="N116" ca="1">IF(SUM(OFFSET(Factors,VALUE(RIGHT(N$34,2)),1,1,68))=0,"None",SQRT(SUM((OFFSET(Factors,VALUE(RIGHT(N$34,2)),1,1,68)-$R116:$CG116)^2)))</f>
        <v>None</v>
      </c>
      <c r="O116" s="10" t="str">
        <f t="array" aca="1" ref="O116" ca="1">IF(SUM(OFFSET(Factors,VALUE(RIGHT(O$34,2)),1,1,68))=0,"None",SQRT(SUM((OFFSET(Factors,VALUE(RIGHT(O$34,2)),1,1,68)-$R116:$CG116)^2)))</f>
        <v>None</v>
      </c>
      <c r="Q116" s="10" t="s">
        <v>45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1</v>
      </c>
      <c r="AI116" s="11">
        <v>1</v>
      </c>
      <c r="AJ116" s="11">
        <v>0</v>
      </c>
      <c r="AK116" s="11">
        <v>1</v>
      </c>
      <c r="AL116" s="11">
        <v>1</v>
      </c>
      <c r="AM116" s="11">
        <v>0</v>
      </c>
      <c r="AN116" s="11">
        <v>1</v>
      </c>
      <c r="AO116" s="11">
        <v>0</v>
      </c>
      <c r="AP116" s="11">
        <v>1</v>
      </c>
      <c r="AQ116" s="11">
        <v>0</v>
      </c>
      <c r="AR116" s="11">
        <v>0</v>
      </c>
      <c r="AS116" s="11">
        <v>0</v>
      </c>
      <c r="AT116" s="11">
        <v>0</v>
      </c>
      <c r="AU116" s="11">
        <v>0</v>
      </c>
      <c r="AV116" s="11">
        <v>1</v>
      </c>
      <c r="AW116" s="11">
        <v>1</v>
      </c>
      <c r="AX116" s="11">
        <v>0</v>
      </c>
      <c r="AY116" s="11">
        <v>0</v>
      </c>
      <c r="AZ116" s="11">
        <v>0</v>
      </c>
      <c r="BA116" s="11">
        <v>1</v>
      </c>
      <c r="BB116" s="11">
        <v>0</v>
      </c>
      <c r="BC116" s="11">
        <v>1</v>
      </c>
      <c r="BD116" s="11">
        <v>1</v>
      </c>
      <c r="BE116" s="11">
        <v>0</v>
      </c>
      <c r="BF116" s="11">
        <v>0</v>
      </c>
      <c r="BG116" s="11">
        <v>0</v>
      </c>
      <c r="BH116" s="11">
        <v>0</v>
      </c>
      <c r="BI116" s="11">
        <v>0</v>
      </c>
      <c r="BJ116" s="11">
        <v>1</v>
      </c>
      <c r="BK116" s="11">
        <v>0</v>
      </c>
      <c r="BL116" s="11">
        <v>0</v>
      </c>
      <c r="BM116" s="11">
        <v>0</v>
      </c>
      <c r="BN116" s="11">
        <v>0</v>
      </c>
      <c r="BO116" s="11">
        <v>0</v>
      </c>
      <c r="BP116" s="11">
        <v>1</v>
      </c>
      <c r="BQ116" s="11">
        <v>1</v>
      </c>
      <c r="BR116" s="11">
        <v>0</v>
      </c>
      <c r="BS116" s="11">
        <v>0</v>
      </c>
      <c r="BT116" s="11">
        <v>0</v>
      </c>
      <c r="BU116" s="11">
        <v>0</v>
      </c>
      <c r="BV116" s="11">
        <v>0</v>
      </c>
      <c r="BW116" s="11">
        <v>0</v>
      </c>
      <c r="BX116" s="11">
        <v>0</v>
      </c>
      <c r="BY116" s="11">
        <v>0</v>
      </c>
      <c r="BZ116" s="11">
        <v>0</v>
      </c>
      <c r="CA116" s="11">
        <v>0</v>
      </c>
      <c r="CB116" s="11">
        <v>0</v>
      </c>
      <c r="CC116" s="11">
        <v>0</v>
      </c>
      <c r="CD116" s="11">
        <v>0</v>
      </c>
      <c r="CE116" s="11">
        <v>1</v>
      </c>
      <c r="CF116" s="11">
        <v>0</v>
      </c>
      <c r="CG116" s="11">
        <v>0</v>
      </c>
      <c r="CH116" s="11">
        <f ca="1">E116</f>
        <v>4</v>
      </c>
    </row>
    <row r="117" spans="4:86" x14ac:dyDescent="0.3">
      <c r="D117" s="11">
        <v>5</v>
      </c>
      <c r="E117" s="11">
        <f t="shared" ca="1" si="15"/>
        <v>4</v>
      </c>
      <c r="F117" s="10">
        <f t="array" aca="1" ref="F117" ca="1">IF(SUM(OFFSET(Factors,VALUE(RIGHT(F$34,2)),1,1,68))=0,"None",SQRT(SUM((OFFSET(Factors,VALUE(RIGHT(F$34,2)),1,1,68)-$R117:$CG117)^2)))</f>
        <v>2.9822973061420655</v>
      </c>
      <c r="G117" s="10">
        <f t="array" aca="1" ref="G117" ca="1">IF(SUM(OFFSET(Factors,VALUE(RIGHT(G$34,2)),1,1,68))=0,"None",SQRT(SUM((OFFSET(Factors,VALUE(RIGHT(G$34,2)),1,1,68)-$R117:$CG117)^2)))</f>
        <v>3.2041023999474665</v>
      </c>
      <c r="H117" s="10">
        <f t="array" aca="1" ref="H117" ca="1">IF(SUM(OFFSET(Factors,VALUE(RIGHT(H$34,2)),1,1,68))=0,"None",SQRT(SUM((OFFSET(Factors,VALUE(RIGHT(H$34,2)),1,1,68)-$R117:$CG117)^2)))</f>
        <v>3.1699279024252891</v>
      </c>
      <c r="I117" s="10">
        <f t="array" aca="1" ref="I117" ca="1">IF(SUM(OFFSET(Factors,VALUE(RIGHT(I$34,2)),1,1,68))=0,"None",SQRT(SUM((OFFSET(Factors,VALUE(RIGHT(I$34,2)),1,1,68)-$R117:$CG117)^2)))</f>
        <v>2.8082670165715431</v>
      </c>
      <c r="J117" s="10">
        <f t="array" aca="1" ref="J117" ca="1">IF(SUM(OFFSET(Factors,VALUE(RIGHT(J$34,2)),1,1,68))=0,"None",SQRT(SUM((OFFSET(Factors,VALUE(RIGHT(J$34,2)),1,1,68)-$R117:$CG117)^2)))</f>
        <v>3.1220986531498327</v>
      </c>
      <c r="K117" s="10" t="str">
        <f t="array" aca="1" ref="K117" ca="1">IF(SUM(OFFSET(Factors,VALUE(RIGHT(K$34,2)),1,1,68))=0,"None",SQRT(SUM((OFFSET(Factors,VALUE(RIGHT(K$34,2)),1,1,68)-$R117:$CG117)^2)))</f>
        <v>None</v>
      </c>
      <c r="L117" s="10" t="str">
        <f t="array" aca="1" ref="L117" ca="1">IF(SUM(OFFSET(Factors,VALUE(RIGHT(L$34,2)),1,1,68))=0,"None",SQRT(SUM((OFFSET(Factors,VALUE(RIGHT(L$34,2)),1,1,68)-$R117:$CG117)^2)))</f>
        <v>None</v>
      </c>
      <c r="M117" s="10" t="str">
        <f t="array" aca="1" ref="M117" ca="1">IF(SUM(OFFSET(Factors,VALUE(RIGHT(M$34,2)),1,1,68))=0,"None",SQRT(SUM((OFFSET(Factors,VALUE(RIGHT(M$34,2)),1,1,68)-$R117:$CG117)^2)))</f>
        <v>None</v>
      </c>
      <c r="N117" s="10" t="str">
        <f t="array" aca="1" ref="N117" ca="1">IF(SUM(OFFSET(Factors,VALUE(RIGHT(N$34,2)),1,1,68))=0,"None",SQRT(SUM((OFFSET(Factors,VALUE(RIGHT(N$34,2)),1,1,68)-$R117:$CG117)^2)))</f>
        <v>None</v>
      </c>
      <c r="O117" s="10" t="str">
        <f t="array" aca="1" ref="O117" ca="1">IF(SUM(OFFSET(Factors,VALUE(RIGHT(O$34,2)),1,1,68))=0,"None",SQRT(SUM((OFFSET(Factors,VALUE(RIGHT(O$34,2)),1,1,68)-$R117:$CG117)^2)))</f>
        <v>None</v>
      </c>
      <c r="Q117" s="10" t="s">
        <v>33</v>
      </c>
      <c r="R117" s="11">
        <v>0</v>
      </c>
      <c r="S117" s="11">
        <v>0</v>
      </c>
      <c r="T117" s="11">
        <v>0</v>
      </c>
      <c r="U117" s="11">
        <v>0</v>
      </c>
      <c r="V117" s="11">
        <v>0</v>
      </c>
      <c r="W117" s="11">
        <v>1</v>
      </c>
      <c r="X117" s="11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0</v>
      </c>
      <c r="AG117" s="11">
        <v>1</v>
      </c>
      <c r="AH117" s="11">
        <v>1</v>
      </c>
      <c r="AI117" s="11">
        <v>0</v>
      </c>
      <c r="AJ117" s="11">
        <v>0</v>
      </c>
      <c r="AK117" s="11">
        <v>1</v>
      </c>
      <c r="AL117" s="11">
        <v>1</v>
      </c>
      <c r="AM117" s="11">
        <v>0</v>
      </c>
      <c r="AN117" s="11">
        <v>0</v>
      </c>
      <c r="AO117" s="11">
        <v>0</v>
      </c>
      <c r="AP117" s="11">
        <v>0</v>
      </c>
      <c r="AQ117" s="11">
        <v>0</v>
      </c>
      <c r="AR117" s="11">
        <v>1</v>
      </c>
      <c r="AS117" s="11">
        <v>1</v>
      </c>
      <c r="AT117" s="11">
        <v>0</v>
      </c>
      <c r="AU117" s="11">
        <v>0</v>
      </c>
      <c r="AV117" s="11">
        <v>0</v>
      </c>
      <c r="AW117" s="11">
        <v>0</v>
      </c>
      <c r="AX117" s="11">
        <v>0</v>
      </c>
      <c r="AY117" s="11">
        <v>1</v>
      </c>
      <c r="AZ117" s="11">
        <v>0</v>
      </c>
      <c r="BA117" s="11">
        <v>0</v>
      </c>
      <c r="BB117" s="11">
        <v>0</v>
      </c>
      <c r="BC117" s="11">
        <v>0</v>
      </c>
      <c r="BD117" s="11">
        <v>0</v>
      </c>
      <c r="BE117" s="11">
        <v>0</v>
      </c>
      <c r="BF117" s="11">
        <v>0</v>
      </c>
      <c r="BG117" s="11">
        <v>1</v>
      </c>
      <c r="BH117" s="11">
        <v>0</v>
      </c>
      <c r="BI117" s="11">
        <v>0</v>
      </c>
      <c r="BJ117" s="11">
        <v>1</v>
      </c>
      <c r="BK117" s="11">
        <v>0</v>
      </c>
      <c r="BL117" s="11">
        <v>0</v>
      </c>
      <c r="BM117" s="11">
        <v>0</v>
      </c>
      <c r="BN117" s="11">
        <v>0</v>
      </c>
      <c r="BO117" s="11">
        <v>0</v>
      </c>
      <c r="BP117" s="11">
        <v>1</v>
      </c>
      <c r="BQ117" s="11">
        <v>0</v>
      </c>
      <c r="BR117" s="11">
        <v>0</v>
      </c>
      <c r="BS117" s="11">
        <v>0</v>
      </c>
      <c r="BT117" s="11">
        <v>0</v>
      </c>
      <c r="BU117" s="11">
        <v>0</v>
      </c>
      <c r="BV117" s="11">
        <v>0</v>
      </c>
      <c r="BW117" s="11">
        <v>0</v>
      </c>
      <c r="BX117" s="11">
        <v>1</v>
      </c>
      <c r="BY117" s="11">
        <v>0</v>
      </c>
      <c r="BZ117" s="11">
        <v>0</v>
      </c>
      <c r="CA117" s="11">
        <v>0</v>
      </c>
      <c r="CB117" s="11">
        <v>0</v>
      </c>
      <c r="CC117" s="11">
        <v>1</v>
      </c>
      <c r="CD117" s="11">
        <v>0</v>
      </c>
      <c r="CE117" s="11">
        <v>1</v>
      </c>
      <c r="CF117" s="11">
        <v>0</v>
      </c>
      <c r="CG117" s="11">
        <v>0</v>
      </c>
      <c r="CH117" s="11">
        <f ca="1">E117</f>
        <v>4</v>
      </c>
    </row>
    <row r="118" spans="4:86" x14ac:dyDescent="0.3">
      <c r="D118" s="11">
        <v>2</v>
      </c>
      <c r="E118" s="11">
        <f t="shared" ca="1" si="15"/>
        <v>4</v>
      </c>
      <c r="F118" s="10">
        <f t="array" aca="1" ref="F118" ca="1">IF(SUM(OFFSET(Factors,VALUE(RIGHT(F$34,2)),1,1,68))=0,"None",SQRT(SUM((OFFSET(Factors,VALUE(RIGHT(F$34,2)),1,1,68)-$R118:$CG118)^2)))</f>
        <v>3.184979940631059</v>
      </c>
      <c r="G118" s="10">
        <f t="array" aca="1" ref="G118" ca="1">IF(SUM(OFFSET(Factors,VALUE(RIGHT(G$34,2)),1,1,68))=0,"None",SQRT(SUM((OFFSET(Factors,VALUE(RIGHT(G$34,2)),1,1,68)-$R118:$CG118)^2)))</f>
        <v>3.2160838400564424</v>
      </c>
      <c r="H118" s="10">
        <f t="array" aca="1" ref="H118" ca="1">IF(SUM(OFFSET(Factors,VALUE(RIGHT(H$34,2)),1,1,68))=0,"None",SQRT(SUM((OFFSET(Factors,VALUE(RIGHT(H$34,2)),1,1,68)-$R118:$CG118)^2)))</f>
        <v>3.188430643027683</v>
      </c>
      <c r="I118" s="10">
        <f t="array" aca="1" ref="I118" ca="1">IF(SUM(OFFSET(Factors,VALUE(RIGHT(I$34,2)),1,1,68))=0,"None",SQRT(SUM((OFFSET(Factors,VALUE(RIGHT(I$34,2)),1,1,68)-$R118:$CG118)^2)))</f>
        <v>2.7427590620991982</v>
      </c>
      <c r="J118" s="10">
        <f t="array" aca="1" ref="J118" ca="1">IF(SUM(OFFSET(Factors,VALUE(RIGHT(J$34,2)),1,1,68))=0,"None",SQRT(SUM((OFFSET(Factors,VALUE(RIGHT(J$34,2)),1,1,68)-$R118:$CG118)^2)))</f>
        <v>3.3387872049593095</v>
      </c>
      <c r="K118" s="10" t="str">
        <f t="array" aca="1" ref="K118" ca="1">IF(SUM(OFFSET(Factors,VALUE(RIGHT(K$34,2)),1,1,68))=0,"None",SQRT(SUM((OFFSET(Factors,VALUE(RIGHT(K$34,2)),1,1,68)-$R118:$CG118)^2)))</f>
        <v>None</v>
      </c>
      <c r="L118" s="10" t="str">
        <f t="array" aca="1" ref="L118" ca="1">IF(SUM(OFFSET(Factors,VALUE(RIGHT(L$34,2)),1,1,68))=0,"None",SQRT(SUM((OFFSET(Factors,VALUE(RIGHT(L$34,2)),1,1,68)-$R118:$CG118)^2)))</f>
        <v>None</v>
      </c>
      <c r="M118" s="10" t="str">
        <f t="array" aca="1" ref="M118" ca="1">IF(SUM(OFFSET(Factors,VALUE(RIGHT(M$34,2)),1,1,68))=0,"None",SQRT(SUM((OFFSET(Factors,VALUE(RIGHT(M$34,2)),1,1,68)-$R118:$CG118)^2)))</f>
        <v>None</v>
      </c>
      <c r="N118" s="10" t="str">
        <f t="array" aca="1" ref="N118" ca="1">IF(SUM(OFFSET(Factors,VALUE(RIGHT(N$34,2)),1,1,68))=0,"None",SQRT(SUM((OFFSET(Factors,VALUE(RIGHT(N$34,2)),1,1,68)-$R118:$CG118)^2)))</f>
        <v>None</v>
      </c>
      <c r="O118" s="10" t="str">
        <f t="array" aca="1" ref="O118" ca="1">IF(SUM(OFFSET(Factors,VALUE(RIGHT(O$34,2)),1,1,68))=0,"None",SQRT(SUM((OFFSET(Factors,VALUE(RIGHT(O$34,2)),1,1,68)-$R118:$CG118)^2)))</f>
        <v>None</v>
      </c>
      <c r="Q118" s="10" t="s">
        <v>32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1</v>
      </c>
      <c r="AJ118" s="11">
        <v>0</v>
      </c>
      <c r="AK118" s="11">
        <v>1</v>
      </c>
      <c r="AL118" s="11">
        <v>1</v>
      </c>
      <c r="AM118" s="11">
        <v>0</v>
      </c>
      <c r="AN118" s="11">
        <v>0</v>
      </c>
      <c r="AO118" s="11">
        <v>0</v>
      </c>
      <c r="AP118" s="11">
        <v>0</v>
      </c>
      <c r="AQ118" s="11">
        <v>0</v>
      </c>
      <c r="AR118" s="11">
        <v>1</v>
      </c>
      <c r="AS118" s="11">
        <v>0</v>
      </c>
      <c r="AT118" s="11">
        <v>0</v>
      </c>
      <c r="AU118" s="11">
        <v>0</v>
      </c>
      <c r="AV118" s="11">
        <v>0</v>
      </c>
      <c r="AW118" s="11">
        <v>1</v>
      </c>
      <c r="AX118" s="11">
        <v>0</v>
      </c>
      <c r="AY118" s="11">
        <v>0</v>
      </c>
      <c r="AZ118" s="11">
        <v>0</v>
      </c>
      <c r="BA118" s="11">
        <v>1</v>
      </c>
      <c r="BB118" s="11">
        <v>0</v>
      </c>
      <c r="BC118" s="11">
        <v>0</v>
      </c>
      <c r="BD118" s="11">
        <v>1</v>
      </c>
      <c r="BE118" s="11">
        <v>0</v>
      </c>
      <c r="BF118" s="11">
        <v>0</v>
      </c>
      <c r="BG118" s="11">
        <v>0</v>
      </c>
      <c r="BH118" s="11">
        <v>0</v>
      </c>
      <c r="BI118" s="11">
        <v>0</v>
      </c>
      <c r="BJ118" s="11">
        <v>1</v>
      </c>
      <c r="BK118" s="11">
        <v>0</v>
      </c>
      <c r="BL118" s="11">
        <v>0</v>
      </c>
      <c r="BM118" s="11">
        <v>0</v>
      </c>
      <c r="BN118" s="11">
        <v>1</v>
      </c>
      <c r="BO118" s="11">
        <v>0</v>
      </c>
      <c r="BP118" s="11">
        <v>1</v>
      </c>
      <c r="BQ118" s="11">
        <v>0</v>
      </c>
      <c r="BR118" s="11">
        <v>1</v>
      </c>
      <c r="BS118" s="11">
        <v>0</v>
      </c>
      <c r="BT118" s="11">
        <v>0</v>
      </c>
      <c r="BU118" s="11">
        <v>0</v>
      </c>
      <c r="BV118" s="11">
        <v>0</v>
      </c>
      <c r="BW118" s="11">
        <v>0</v>
      </c>
      <c r="BX118" s="11">
        <v>0</v>
      </c>
      <c r="BY118" s="11">
        <v>0</v>
      </c>
      <c r="BZ118" s="11">
        <v>0</v>
      </c>
      <c r="CA118" s="11">
        <v>0</v>
      </c>
      <c r="CB118" s="11">
        <v>0</v>
      </c>
      <c r="CC118" s="11">
        <v>0</v>
      </c>
      <c r="CD118" s="11">
        <v>0</v>
      </c>
      <c r="CE118" s="11">
        <v>0</v>
      </c>
      <c r="CF118" s="11">
        <v>0</v>
      </c>
      <c r="CG118" s="11">
        <v>0</v>
      </c>
      <c r="CH118" s="11">
        <f ca="1">E118</f>
        <v>4</v>
      </c>
    </row>
    <row r="119" spans="4:86" x14ac:dyDescent="0.3">
      <c r="D119" s="11">
        <v>5</v>
      </c>
      <c r="E119" s="11">
        <f t="shared" ca="1" si="15"/>
        <v>4</v>
      </c>
      <c r="F119" s="10">
        <f t="array" aca="1" ref="F119" ca="1">IF(SUM(OFFSET(Factors,VALUE(RIGHT(F$34,2)),1,1,68))=0,"None",SQRT(SUM((OFFSET(Factors,VALUE(RIGHT(F$34,2)),1,1,68)-$R119:$CG119)^2)))</f>
        <v>3.4608424632675145</v>
      </c>
      <c r="G119" s="10">
        <f t="array" aca="1" ref="G119" ca="1">IF(SUM(OFFSET(Factors,VALUE(RIGHT(G$34,2)),1,1,68))=0,"None",SQRT(SUM((OFFSET(Factors,VALUE(RIGHT(G$34,2)),1,1,68)-$R119:$CG119)^2)))</f>
        <v>3.4469779234473967</v>
      </c>
      <c r="H119" s="10">
        <f t="array" aca="1" ref="H119" ca="1">IF(SUM(OFFSET(Factors,VALUE(RIGHT(H$34,2)),1,1,68))=0,"None",SQRT(SUM((OFFSET(Factors,VALUE(RIGHT(H$34,2)),1,1,68)-$R119:$CG119)^2)))</f>
        <v>3.3239198104909802</v>
      </c>
      <c r="I119" s="10">
        <f t="array" aca="1" ref="I119" ca="1">IF(SUM(OFFSET(Factors,VALUE(RIGHT(I$34,2)),1,1,68))=0,"None",SQRT(SUM((OFFSET(Factors,VALUE(RIGHT(I$34,2)),1,1,68)-$R119:$CG119)^2)))</f>
        <v>3.1442588373675027</v>
      </c>
      <c r="J119" s="10">
        <f t="array" aca="1" ref="J119" ca="1">IF(SUM(OFFSET(Factors,VALUE(RIGHT(J$34,2)),1,1,68))=0,"None",SQRT(SUM((OFFSET(Factors,VALUE(RIGHT(J$34,2)),1,1,68)-$R119:$CG119)^2)))</f>
        <v>3.2322592717787977</v>
      </c>
      <c r="K119" s="10" t="str">
        <f t="array" aca="1" ref="K119" ca="1">IF(SUM(OFFSET(Factors,VALUE(RIGHT(K$34,2)),1,1,68))=0,"None",SQRT(SUM((OFFSET(Factors,VALUE(RIGHT(K$34,2)),1,1,68)-$R119:$CG119)^2)))</f>
        <v>None</v>
      </c>
      <c r="L119" s="10" t="str">
        <f t="array" aca="1" ref="L119" ca="1">IF(SUM(OFFSET(Factors,VALUE(RIGHT(L$34,2)),1,1,68))=0,"None",SQRT(SUM((OFFSET(Factors,VALUE(RIGHT(L$34,2)),1,1,68)-$R119:$CG119)^2)))</f>
        <v>None</v>
      </c>
      <c r="M119" s="10" t="str">
        <f t="array" aca="1" ref="M119" ca="1">IF(SUM(OFFSET(Factors,VALUE(RIGHT(M$34,2)),1,1,68))=0,"None",SQRT(SUM((OFFSET(Factors,VALUE(RIGHT(M$34,2)),1,1,68)-$R119:$CG119)^2)))</f>
        <v>None</v>
      </c>
      <c r="N119" s="10" t="str">
        <f t="array" aca="1" ref="N119" ca="1">IF(SUM(OFFSET(Factors,VALUE(RIGHT(N$34,2)),1,1,68))=0,"None",SQRT(SUM((OFFSET(Factors,VALUE(RIGHT(N$34,2)),1,1,68)-$R119:$CG119)^2)))</f>
        <v>None</v>
      </c>
      <c r="O119" s="10" t="str">
        <f t="array" aca="1" ref="O119" ca="1">IF(SUM(OFFSET(Factors,VALUE(RIGHT(O$34,2)),1,1,68))=0,"None",SQRT(SUM((OFFSET(Factors,VALUE(RIGHT(O$34,2)),1,1,68)-$R119:$CG119)^2)))</f>
        <v>None</v>
      </c>
      <c r="Q119" s="10" t="s">
        <v>19</v>
      </c>
      <c r="R119" s="11">
        <v>0</v>
      </c>
      <c r="S119" s="11">
        <v>0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1</v>
      </c>
      <c r="AC119" s="11">
        <v>0</v>
      </c>
      <c r="AD119" s="11">
        <v>0</v>
      </c>
      <c r="AE119" s="11">
        <v>0</v>
      </c>
      <c r="AF119" s="11">
        <v>0</v>
      </c>
      <c r="AG119" s="11">
        <v>1</v>
      </c>
      <c r="AH119" s="11">
        <v>1</v>
      </c>
      <c r="AI119" s="11">
        <v>0</v>
      </c>
      <c r="AJ119" s="11">
        <v>1</v>
      </c>
      <c r="AK119" s="11">
        <v>0</v>
      </c>
      <c r="AL119" s="11">
        <v>0</v>
      </c>
      <c r="AM119" s="11">
        <v>0</v>
      </c>
      <c r="AN119" s="11">
        <v>1</v>
      </c>
      <c r="AO119" s="11">
        <v>0</v>
      </c>
      <c r="AP119" s="11">
        <v>0</v>
      </c>
      <c r="AQ119" s="11">
        <v>0</v>
      </c>
      <c r="AR119" s="11">
        <v>0</v>
      </c>
      <c r="AS119" s="11">
        <v>1</v>
      </c>
      <c r="AT119" s="11">
        <v>1</v>
      </c>
      <c r="AU119" s="11">
        <v>0</v>
      </c>
      <c r="AV119" s="11">
        <v>1</v>
      </c>
      <c r="AW119" s="11">
        <v>0</v>
      </c>
      <c r="AX119" s="11">
        <v>1</v>
      </c>
      <c r="AY119" s="11">
        <v>0</v>
      </c>
      <c r="AZ119" s="11">
        <v>0</v>
      </c>
      <c r="BA119" s="11">
        <v>1</v>
      </c>
      <c r="BB119" s="11">
        <v>0</v>
      </c>
      <c r="BC119" s="11">
        <v>0</v>
      </c>
      <c r="BD119" s="11">
        <v>0</v>
      </c>
      <c r="BE119" s="11">
        <v>1</v>
      </c>
      <c r="BF119" s="11">
        <v>0</v>
      </c>
      <c r="BG119" s="11">
        <v>1</v>
      </c>
      <c r="BH119" s="11">
        <v>0</v>
      </c>
      <c r="BI119" s="11">
        <v>1</v>
      </c>
      <c r="BJ119" s="11">
        <v>1</v>
      </c>
      <c r="BK119" s="11">
        <v>0</v>
      </c>
      <c r="BL119" s="11">
        <v>0</v>
      </c>
      <c r="BM119" s="11">
        <v>0</v>
      </c>
      <c r="BN119" s="11">
        <v>0</v>
      </c>
      <c r="BO119" s="11">
        <v>0</v>
      </c>
      <c r="BP119" s="11">
        <v>0</v>
      </c>
      <c r="BQ119" s="11">
        <v>1</v>
      </c>
      <c r="BR119" s="11">
        <v>0</v>
      </c>
      <c r="BS119" s="11">
        <v>0</v>
      </c>
      <c r="BT119" s="11">
        <v>0</v>
      </c>
      <c r="BU119" s="11">
        <v>0</v>
      </c>
      <c r="BV119" s="11">
        <v>0</v>
      </c>
      <c r="BW119" s="11">
        <v>0</v>
      </c>
      <c r="BX119" s="11">
        <v>0</v>
      </c>
      <c r="BY119" s="11">
        <v>1</v>
      </c>
      <c r="BZ119" s="11">
        <v>1</v>
      </c>
      <c r="CA119" s="11">
        <v>0</v>
      </c>
      <c r="CB119" s="11">
        <v>0</v>
      </c>
      <c r="CC119" s="11">
        <v>0</v>
      </c>
      <c r="CD119" s="11">
        <v>0</v>
      </c>
      <c r="CE119" s="11">
        <v>0</v>
      </c>
      <c r="CF119" s="11">
        <v>0</v>
      </c>
      <c r="CG119" s="11">
        <v>0</v>
      </c>
      <c r="CH119" s="11">
        <f ca="1">E119</f>
        <v>4</v>
      </c>
    </row>
    <row r="120" spans="4:86" x14ac:dyDescent="0.3">
      <c r="D120" s="11">
        <v>5</v>
      </c>
      <c r="E120" s="11">
        <f t="shared" ca="1" si="15"/>
        <v>4</v>
      </c>
      <c r="F120" s="10">
        <f t="array" aca="1" ref="F120" ca="1">IF(SUM(OFFSET(Factors,VALUE(RIGHT(F$34,2)),1,1,68))=0,"None",SQRT(SUM((OFFSET(Factors,VALUE(RIGHT(F$34,2)),1,1,68)-$R120:$CG120)^2)))</f>
        <v>3.5675524600985979</v>
      </c>
      <c r="G120" s="10">
        <f t="array" aca="1" ref="G120" ca="1">IF(SUM(OFFSET(Factors,VALUE(RIGHT(G$34,2)),1,1,68))=0,"None",SQRT(SUM((OFFSET(Factors,VALUE(RIGHT(G$34,2)),1,1,68)-$R120:$CG120)^2)))</f>
        <v>3.5023238270252959</v>
      </c>
      <c r="H120" s="10">
        <f t="array" aca="1" ref="H120" ca="1">IF(SUM(OFFSET(Factors,VALUE(RIGHT(H$34,2)),1,1,68))=0,"None",SQRT(SUM((OFFSET(Factors,VALUE(RIGHT(H$34,2)),1,1,68)-$R120:$CG120)^2)))</f>
        <v>3.4284581460936003</v>
      </c>
      <c r="I120" s="10">
        <f t="array" aca="1" ref="I120" ca="1">IF(SUM(OFFSET(Factors,VALUE(RIGHT(I$34,2)),1,1,68))=0,"None",SQRT(SUM((OFFSET(Factors,VALUE(RIGHT(I$34,2)),1,1,68)-$R120:$CG120)^2)))</f>
        <v>3.2438753479021472</v>
      </c>
      <c r="J120" s="10">
        <f t="array" aca="1" ref="J120" ca="1">IF(SUM(OFFSET(Factors,VALUE(RIGHT(J$34,2)),1,1,68))=0,"None",SQRT(SUM((OFFSET(Factors,VALUE(RIGHT(J$34,2)),1,1,68)-$R120:$CG120)^2)))</f>
        <v>3.4274626183227737</v>
      </c>
      <c r="K120" s="10" t="str">
        <f t="array" aca="1" ref="K120" ca="1">IF(SUM(OFFSET(Factors,VALUE(RIGHT(K$34,2)),1,1,68))=0,"None",SQRT(SUM((OFFSET(Factors,VALUE(RIGHT(K$34,2)),1,1,68)-$R120:$CG120)^2)))</f>
        <v>None</v>
      </c>
      <c r="L120" s="10" t="str">
        <f t="array" aca="1" ref="L120" ca="1">IF(SUM(OFFSET(Factors,VALUE(RIGHT(L$34,2)),1,1,68))=0,"None",SQRT(SUM((OFFSET(Factors,VALUE(RIGHT(L$34,2)),1,1,68)-$R120:$CG120)^2)))</f>
        <v>None</v>
      </c>
      <c r="M120" s="10" t="str">
        <f t="array" aca="1" ref="M120" ca="1">IF(SUM(OFFSET(Factors,VALUE(RIGHT(M$34,2)),1,1,68))=0,"None",SQRT(SUM((OFFSET(Factors,VALUE(RIGHT(M$34,2)),1,1,68)-$R120:$CG120)^2)))</f>
        <v>None</v>
      </c>
      <c r="N120" s="10" t="str">
        <f t="array" aca="1" ref="N120" ca="1">IF(SUM(OFFSET(Factors,VALUE(RIGHT(N$34,2)),1,1,68))=0,"None",SQRT(SUM((OFFSET(Factors,VALUE(RIGHT(N$34,2)),1,1,68)-$R120:$CG120)^2)))</f>
        <v>None</v>
      </c>
      <c r="O120" s="10" t="str">
        <f t="array" aca="1" ref="O120" ca="1">IF(SUM(OFFSET(Factors,VALUE(RIGHT(O$34,2)),1,1,68))=0,"None",SQRT(SUM((OFFSET(Factors,VALUE(RIGHT(O$34,2)),1,1,68)-$R120:$CG120)^2)))</f>
        <v>None</v>
      </c>
      <c r="Q120" s="10" t="s">
        <v>18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1</v>
      </c>
      <c r="AC120" s="11">
        <v>0</v>
      </c>
      <c r="AD120" s="11">
        <v>0</v>
      </c>
      <c r="AE120" s="11">
        <v>0</v>
      </c>
      <c r="AF120" s="11">
        <v>1</v>
      </c>
      <c r="AG120" s="11">
        <v>1</v>
      </c>
      <c r="AH120" s="11">
        <v>1</v>
      </c>
      <c r="AI120" s="11">
        <v>0</v>
      </c>
      <c r="AJ120" s="11">
        <v>0</v>
      </c>
      <c r="AK120" s="11">
        <v>0</v>
      </c>
      <c r="AL120" s="11">
        <v>0</v>
      </c>
      <c r="AM120" s="11">
        <v>1</v>
      </c>
      <c r="AN120" s="11">
        <v>1</v>
      </c>
      <c r="AO120" s="11">
        <v>0</v>
      </c>
      <c r="AP120" s="11">
        <v>1</v>
      </c>
      <c r="AQ120" s="11">
        <v>0</v>
      </c>
      <c r="AR120" s="11">
        <v>0</v>
      </c>
      <c r="AS120" s="11">
        <v>1</v>
      </c>
      <c r="AT120" s="11">
        <v>0</v>
      </c>
      <c r="AU120" s="11">
        <v>0</v>
      </c>
      <c r="AV120" s="11">
        <v>1</v>
      </c>
      <c r="AW120" s="11">
        <v>0</v>
      </c>
      <c r="AX120" s="11">
        <v>0</v>
      </c>
      <c r="AY120" s="11">
        <v>0</v>
      </c>
      <c r="AZ120" s="11">
        <v>0</v>
      </c>
      <c r="BA120" s="11">
        <v>1</v>
      </c>
      <c r="BB120" s="11">
        <v>0</v>
      </c>
      <c r="BC120" s="11">
        <v>0</v>
      </c>
      <c r="BD120" s="11">
        <v>0</v>
      </c>
      <c r="BE120" s="11">
        <v>0</v>
      </c>
      <c r="BF120" s="11">
        <v>0</v>
      </c>
      <c r="BG120" s="11">
        <v>0</v>
      </c>
      <c r="BH120" s="11">
        <v>0</v>
      </c>
      <c r="BI120" s="11">
        <v>0</v>
      </c>
      <c r="BJ120" s="11">
        <v>1</v>
      </c>
      <c r="BK120" s="11">
        <v>1</v>
      </c>
      <c r="BL120" s="11">
        <v>0</v>
      </c>
      <c r="BM120" s="11">
        <v>0</v>
      </c>
      <c r="BN120" s="11">
        <v>1</v>
      </c>
      <c r="BO120" s="11">
        <v>0</v>
      </c>
      <c r="BP120" s="11">
        <v>0</v>
      </c>
      <c r="BQ120" s="11">
        <v>0</v>
      </c>
      <c r="BR120" s="11">
        <v>1</v>
      </c>
      <c r="BS120" s="11">
        <v>0</v>
      </c>
      <c r="BT120" s="11">
        <v>0</v>
      </c>
      <c r="BU120" s="11">
        <v>0</v>
      </c>
      <c r="BV120" s="11">
        <v>0</v>
      </c>
      <c r="BW120" s="11">
        <v>0</v>
      </c>
      <c r="BX120" s="11">
        <v>0</v>
      </c>
      <c r="BY120" s="11">
        <v>0</v>
      </c>
      <c r="BZ120" s="11">
        <v>1</v>
      </c>
      <c r="CA120" s="11">
        <v>1</v>
      </c>
      <c r="CB120" s="11">
        <v>0</v>
      </c>
      <c r="CC120" s="11">
        <v>0</v>
      </c>
      <c r="CD120" s="11">
        <v>0</v>
      </c>
      <c r="CE120" s="11">
        <v>1</v>
      </c>
      <c r="CF120" s="11">
        <v>0</v>
      </c>
      <c r="CG120" s="11">
        <v>0</v>
      </c>
      <c r="CH120" s="11">
        <f ca="1">E120</f>
        <v>4</v>
      </c>
    </row>
    <row r="121" spans="4:86" x14ac:dyDescent="0.3">
      <c r="D121" s="11">
        <v>2</v>
      </c>
      <c r="E121" s="11">
        <f t="shared" ca="1" si="15"/>
        <v>4</v>
      </c>
      <c r="F121" s="10">
        <f t="array" aca="1" ref="F121" ca="1">IF(SUM(OFFSET(Factors,VALUE(RIGHT(F$34,2)),1,1,68))=0,"None",SQRT(SUM((OFFSET(Factors,VALUE(RIGHT(F$34,2)),1,1,68)-$R121:$CG121)^2)))</f>
        <v>3.1454883916845451</v>
      </c>
      <c r="G121" s="10">
        <f t="array" aca="1" ref="G121" ca="1">IF(SUM(OFFSET(Factors,VALUE(RIGHT(G$34,2)),1,1,68))=0,"None",SQRT(SUM((OFFSET(Factors,VALUE(RIGHT(G$34,2)),1,1,68)-$R121:$CG121)^2)))</f>
        <v>3.0186795185151669</v>
      </c>
      <c r="H121" s="10">
        <f t="array" aca="1" ref="H121" ca="1">IF(SUM(OFFSET(Factors,VALUE(RIGHT(H$34,2)),1,1,68))=0,"None",SQRT(SUM((OFFSET(Factors,VALUE(RIGHT(H$34,2)),1,1,68)-$R121:$CG121)^2)))</f>
        <v>2.9884437166777738</v>
      </c>
      <c r="I121" s="10">
        <f t="array" aca="1" ref="I121" ca="1">IF(SUM(OFFSET(Factors,VALUE(RIGHT(I$34,2)),1,1,68))=0,"None",SQRT(SUM((OFFSET(Factors,VALUE(RIGHT(I$34,2)),1,1,68)-$R121:$CG121)^2)))</f>
        <v>2.9503466668419587</v>
      </c>
      <c r="J121" s="10">
        <f t="array" aca="1" ref="J121" ca="1">IF(SUM(OFFSET(Factors,VALUE(RIGHT(J$34,2)),1,1,68))=0,"None",SQRT(SUM((OFFSET(Factors,VALUE(RIGHT(J$34,2)),1,1,68)-$R121:$CG121)^2)))</f>
        <v>3.106042498099471</v>
      </c>
      <c r="K121" s="10" t="str">
        <f t="array" aca="1" ref="K121" ca="1">IF(SUM(OFFSET(Factors,VALUE(RIGHT(K$34,2)),1,1,68))=0,"None",SQRT(SUM((OFFSET(Factors,VALUE(RIGHT(K$34,2)),1,1,68)-$R121:$CG121)^2)))</f>
        <v>None</v>
      </c>
      <c r="L121" s="10" t="str">
        <f t="array" aca="1" ref="L121" ca="1">IF(SUM(OFFSET(Factors,VALUE(RIGHT(L$34,2)),1,1,68))=0,"None",SQRT(SUM((OFFSET(Factors,VALUE(RIGHT(L$34,2)),1,1,68)-$R121:$CG121)^2)))</f>
        <v>None</v>
      </c>
      <c r="M121" s="10" t="str">
        <f t="array" aca="1" ref="M121" ca="1">IF(SUM(OFFSET(Factors,VALUE(RIGHT(M$34,2)),1,1,68))=0,"None",SQRT(SUM((OFFSET(Factors,VALUE(RIGHT(M$34,2)),1,1,68)-$R121:$CG121)^2)))</f>
        <v>None</v>
      </c>
      <c r="N121" s="10" t="str">
        <f t="array" aca="1" ref="N121" ca="1">IF(SUM(OFFSET(Factors,VALUE(RIGHT(N$34,2)),1,1,68))=0,"None",SQRT(SUM((OFFSET(Factors,VALUE(RIGHT(N$34,2)),1,1,68)-$R121:$CG121)^2)))</f>
        <v>None</v>
      </c>
      <c r="O121" s="10" t="str">
        <f t="array" aca="1" ref="O121" ca="1">IF(SUM(OFFSET(Factors,VALUE(RIGHT(O$34,2)),1,1,68))=0,"None",SQRT(SUM((OFFSET(Factors,VALUE(RIGHT(O$34,2)),1,1,68)-$R121:$CG121)^2)))</f>
        <v>None</v>
      </c>
      <c r="Q121" s="10" t="s">
        <v>14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1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1</v>
      </c>
      <c r="AK121" s="11">
        <v>0</v>
      </c>
      <c r="AL121" s="11">
        <v>1</v>
      </c>
      <c r="AM121" s="11">
        <v>1</v>
      </c>
      <c r="AN121" s="11">
        <v>1</v>
      </c>
      <c r="AO121" s="11">
        <v>0</v>
      </c>
      <c r="AP121" s="11">
        <v>0</v>
      </c>
      <c r="AQ121" s="11">
        <v>0</v>
      </c>
      <c r="AR121" s="11">
        <v>0</v>
      </c>
      <c r="AS121" s="11">
        <v>1</v>
      </c>
      <c r="AT121" s="11">
        <v>0</v>
      </c>
      <c r="AU121" s="11">
        <v>0</v>
      </c>
      <c r="AV121" s="11">
        <v>0</v>
      </c>
      <c r="AW121" s="11">
        <v>0</v>
      </c>
      <c r="AX121" s="11">
        <v>0</v>
      </c>
      <c r="AY121" s="11">
        <v>0</v>
      </c>
      <c r="AZ121" s="11">
        <v>0</v>
      </c>
      <c r="BA121" s="11">
        <v>0</v>
      </c>
      <c r="BB121" s="11">
        <v>0</v>
      </c>
      <c r="BC121" s="11">
        <v>0</v>
      </c>
      <c r="BD121" s="11">
        <v>0</v>
      </c>
      <c r="BE121" s="11">
        <v>0</v>
      </c>
      <c r="BF121" s="11">
        <v>0</v>
      </c>
      <c r="BG121" s="11">
        <v>0</v>
      </c>
      <c r="BH121" s="11">
        <v>0</v>
      </c>
      <c r="BI121" s="11">
        <v>0</v>
      </c>
      <c r="BJ121" s="11">
        <v>0</v>
      </c>
      <c r="BK121" s="11">
        <v>0</v>
      </c>
      <c r="BL121" s="11">
        <v>0</v>
      </c>
      <c r="BM121" s="11">
        <v>1</v>
      </c>
      <c r="BN121" s="11">
        <v>0</v>
      </c>
      <c r="BO121" s="11">
        <v>0</v>
      </c>
      <c r="BP121" s="11">
        <v>1</v>
      </c>
      <c r="BQ121" s="11">
        <v>0</v>
      </c>
      <c r="BR121" s="11">
        <v>0</v>
      </c>
      <c r="BS121" s="11">
        <v>0</v>
      </c>
      <c r="BT121" s="11">
        <v>0</v>
      </c>
      <c r="BU121" s="11">
        <v>0</v>
      </c>
      <c r="BV121" s="11">
        <v>0</v>
      </c>
      <c r="BW121" s="11">
        <v>0</v>
      </c>
      <c r="BX121" s="11">
        <v>0</v>
      </c>
      <c r="BY121" s="11">
        <v>0</v>
      </c>
      <c r="BZ121" s="11">
        <v>0</v>
      </c>
      <c r="CA121" s="11">
        <v>1</v>
      </c>
      <c r="CB121" s="11">
        <v>0</v>
      </c>
      <c r="CC121" s="11">
        <v>0</v>
      </c>
      <c r="CD121" s="11">
        <v>0</v>
      </c>
      <c r="CE121" s="11">
        <v>0</v>
      </c>
      <c r="CF121" s="11">
        <v>0</v>
      </c>
      <c r="CG121" s="11">
        <v>0</v>
      </c>
      <c r="CH121" s="11">
        <f ca="1">E121</f>
        <v>4</v>
      </c>
    </row>
    <row r="122" spans="4:86" x14ac:dyDescent="0.3">
      <c r="D122" s="11">
        <v>5</v>
      </c>
      <c r="E122" s="11">
        <f t="shared" ca="1" si="15"/>
        <v>4</v>
      </c>
      <c r="F122" s="10">
        <f t="array" aca="1" ref="F122" ca="1">IF(SUM(OFFSET(Factors,VALUE(RIGHT(F$34,2)),1,1,68))=0,"None",SQRT(SUM((OFFSET(Factors,VALUE(RIGHT(F$34,2)),1,1,68)-$R122:$CG122)^2)))</f>
        <v>3.0101102785261689</v>
      </c>
      <c r="G122" s="10">
        <f t="array" aca="1" ref="G122" ca="1">IF(SUM(OFFSET(Factors,VALUE(RIGHT(G$34,2)),1,1,68))=0,"None",SQRT(SUM((OFFSET(Factors,VALUE(RIGHT(G$34,2)),1,1,68)-$R122:$CG122)^2)))</f>
        <v>3.356526804503297</v>
      </c>
      <c r="H122" s="10">
        <f t="array" aca="1" ref="H122" ca="1">IF(SUM(OFFSET(Factors,VALUE(RIGHT(H$34,2)),1,1,68))=0,"None",SQRT(SUM((OFFSET(Factors,VALUE(RIGHT(H$34,2)),1,1,68)-$R122:$CG122)^2)))</f>
        <v>3.2068266283385904</v>
      </c>
      <c r="I122" s="10">
        <f t="array" aca="1" ref="I122" ca="1">IF(SUM(OFFSET(Factors,VALUE(RIGHT(I$34,2)),1,1,68))=0,"None",SQRT(SUM((OFFSET(Factors,VALUE(RIGHT(I$34,2)),1,1,68)-$R122:$CG122)^2)))</f>
        <v>2.8244066150738152</v>
      </c>
      <c r="J122" s="10">
        <f t="array" aca="1" ref="J122" ca="1">IF(SUM(OFFSET(Factors,VALUE(RIGHT(J$34,2)),1,1,68))=0,"None",SQRT(SUM((OFFSET(Factors,VALUE(RIGHT(J$34,2)),1,1,68)-$R122:$CG122)^2)))</f>
        <v>3.2322592717787972</v>
      </c>
      <c r="K122" s="10" t="str">
        <f t="array" aca="1" ref="K122" ca="1">IF(SUM(OFFSET(Factors,VALUE(RIGHT(K$34,2)),1,1,68))=0,"None",SQRT(SUM((OFFSET(Factors,VALUE(RIGHT(K$34,2)),1,1,68)-$R122:$CG122)^2)))</f>
        <v>None</v>
      </c>
      <c r="L122" s="10" t="str">
        <f t="array" aca="1" ref="L122" ca="1">IF(SUM(OFFSET(Factors,VALUE(RIGHT(L$34,2)),1,1,68))=0,"None",SQRT(SUM((OFFSET(Factors,VALUE(RIGHT(L$34,2)),1,1,68)-$R122:$CG122)^2)))</f>
        <v>None</v>
      </c>
      <c r="M122" s="10" t="str">
        <f t="array" aca="1" ref="M122" ca="1">IF(SUM(OFFSET(Factors,VALUE(RIGHT(M$34,2)),1,1,68))=0,"None",SQRT(SUM((OFFSET(Factors,VALUE(RIGHT(M$34,2)),1,1,68)-$R122:$CG122)^2)))</f>
        <v>None</v>
      </c>
      <c r="N122" s="10" t="str">
        <f t="array" aca="1" ref="N122" ca="1">IF(SUM(OFFSET(Factors,VALUE(RIGHT(N$34,2)),1,1,68))=0,"None",SQRT(SUM((OFFSET(Factors,VALUE(RIGHT(N$34,2)),1,1,68)-$R122:$CG122)^2)))</f>
        <v>None</v>
      </c>
      <c r="O122" s="10" t="str">
        <f t="array" aca="1" ref="O122" ca="1">IF(SUM(OFFSET(Factors,VALUE(RIGHT(O$34,2)),1,1,68))=0,"None",SQRT(SUM((OFFSET(Factors,VALUE(RIGHT(O$34,2)),1,1,68)-$R122:$CG122)^2)))</f>
        <v>None</v>
      </c>
      <c r="Q122" s="10" t="s">
        <v>4</v>
      </c>
      <c r="R122" s="11">
        <v>0</v>
      </c>
      <c r="S122" s="11">
        <v>0</v>
      </c>
      <c r="T122" s="11">
        <v>0</v>
      </c>
      <c r="U122" s="11">
        <v>0</v>
      </c>
      <c r="V122" s="11">
        <v>0</v>
      </c>
      <c r="W122" s="11">
        <v>0</v>
      </c>
      <c r="X122" s="11">
        <v>0</v>
      </c>
      <c r="Y122" s="11">
        <v>1</v>
      </c>
      <c r="Z122" s="11">
        <v>0</v>
      </c>
      <c r="AA122" s="11">
        <v>0</v>
      </c>
      <c r="AB122" s="11">
        <v>0</v>
      </c>
      <c r="AC122" s="11">
        <v>0</v>
      </c>
      <c r="AD122" s="11">
        <v>0</v>
      </c>
      <c r="AE122" s="11">
        <v>0</v>
      </c>
      <c r="AF122" s="11">
        <v>0</v>
      </c>
      <c r="AG122" s="11">
        <v>1</v>
      </c>
      <c r="AH122" s="11">
        <v>1</v>
      </c>
      <c r="AI122" s="11">
        <v>1</v>
      </c>
      <c r="AJ122" s="11">
        <v>0</v>
      </c>
      <c r="AK122" s="11">
        <v>0</v>
      </c>
      <c r="AL122" s="11">
        <v>0</v>
      </c>
      <c r="AM122" s="11">
        <v>0</v>
      </c>
      <c r="AN122" s="11">
        <v>0</v>
      </c>
      <c r="AO122" s="11">
        <v>0</v>
      </c>
      <c r="AP122" s="11">
        <v>0</v>
      </c>
      <c r="AQ122" s="11">
        <v>0</v>
      </c>
      <c r="AR122" s="11">
        <v>1</v>
      </c>
      <c r="AS122" s="11">
        <v>1</v>
      </c>
      <c r="AT122" s="11">
        <v>0</v>
      </c>
      <c r="AU122" s="11">
        <v>0</v>
      </c>
      <c r="AV122" s="11">
        <v>0</v>
      </c>
      <c r="AW122" s="11">
        <v>0</v>
      </c>
      <c r="AX122" s="11">
        <v>0</v>
      </c>
      <c r="AY122" s="11">
        <v>0</v>
      </c>
      <c r="AZ122" s="11">
        <v>0</v>
      </c>
      <c r="BA122" s="11">
        <v>1</v>
      </c>
      <c r="BB122" s="11">
        <v>0</v>
      </c>
      <c r="BC122" s="11">
        <v>0</v>
      </c>
      <c r="BD122" s="11">
        <v>0</v>
      </c>
      <c r="BE122" s="11">
        <v>0</v>
      </c>
      <c r="BF122" s="11">
        <v>0</v>
      </c>
      <c r="BG122" s="11">
        <v>1</v>
      </c>
      <c r="BH122" s="11">
        <v>0</v>
      </c>
      <c r="BI122" s="11">
        <v>1</v>
      </c>
      <c r="BJ122" s="11">
        <v>0</v>
      </c>
      <c r="BK122" s="11">
        <v>0</v>
      </c>
      <c r="BL122" s="11">
        <v>0</v>
      </c>
      <c r="BM122" s="11">
        <v>0</v>
      </c>
      <c r="BN122" s="11">
        <v>0</v>
      </c>
      <c r="BO122" s="11">
        <v>0</v>
      </c>
      <c r="BP122" s="11">
        <v>0</v>
      </c>
      <c r="BQ122" s="11">
        <v>0</v>
      </c>
      <c r="BR122" s="11">
        <v>0</v>
      </c>
      <c r="BS122" s="11">
        <v>1</v>
      </c>
      <c r="BT122" s="11">
        <v>0</v>
      </c>
      <c r="BU122" s="11">
        <v>0</v>
      </c>
      <c r="BV122" s="11">
        <v>0</v>
      </c>
      <c r="BW122" s="11">
        <v>0</v>
      </c>
      <c r="BX122" s="11">
        <v>0</v>
      </c>
      <c r="BY122" s="11">
        <v>1</v>
      </c>
      <c r="BZ122" s="11">
        <v>0</v>
      </c>
      <c r="CA122" s="11">
        <v>0</v>
      </c>
      <c r="CB122" s="11">
        <v>0</v>
      </c>
      <c r="CC122" s="11">
        <v>1</v>
      </c>
      <c r="CD122" s="11">
        <v>0</v>
      </c>
      <c r="CE122" s="11">
        <v>0</v>
      </c>
      <c r="CF122" s="11">
        <v>0</v>
      </c>
      <c r="CG122" s="11">
        <v>0</v>
      </c>
      <c r="CH122" s="11">
        <f ca="1">E122</f>
        <v>4</v>
      </c>
    </row>
    <row r="123" spans="4:86" x14ac:dyDescent="0.3">
      <c r="D123" s="11">
        <v>1</v>
      </c>
      <c r="E123" s="11">
        <f t="shared" ca="1" si="15"/>
        <v>4</v>
      </c>
      <c r="F123" s="10">
        <f t="array" aca="1" ref="F123" ca="1">IF(SUM(OFFSET(Factors,VALUE(RIGHT(F$34,2)),1,1,68))=0,"None",SQRT(SUM((OFFSET(Factors,VALUE(RIGHT(F$34,2)),1,1,68)-$R123:$CG123)^2)))</f>
        <v>2.6883880961564226</v>
      </c>
      <c r="G123" s="10">
        <f t="array" aca="1" ref="G123" ca="1">IF(SUM(OFFSET(Factors,VALUE(RIGHT(G$34,2)),1,1,68))=0,"None",SQRT(SUM((OFFSET(Factors,VALUE(RIGHT(G$34,2)),1,1,68)-$R123:$CG123)^2)))</f>
        <v>3.1435102679542388</v>
      </c>
      <c r="H123" s="10">
        <f t="array" aca="1" ref="H123" ca="1">IF(SUM(OFFSET(Factors,VALUE(RIGHT(H$34,2)),1,1,68))=0,"None",SQRT(SUM((OFFSET(Factors,VALUE(RIGHT(H$34,2)),1,1,68)-$R123:$CG123)^2)))</f>
        <v>3.0080629824813165</v>
      </c>
      <c r="I123" s="10">
        <f t="array" aca="1" ref="I123" ca="1">IF(SUM(OFFSET(Factors,VALUE(RIGHT(I$34,2)),1,1,68))=0,"None",SQRT(SUM((OFFSET(Factors,VALUE(RIGHT(I$34,2)),1,1,68)-$R123:$CG123)^2)))</f>
        <v>2.5893137033865661</v>
      </c>
      <c r="J123" s="10">
        <f t="array" aca="1" ref="J123" ca="1">IF(SUM(OFFSET(Factors,VALUE(RIGHT(J$34,2)),1,1,68))=0,"None",SQRT(SUM((OFFSET(Factors,VALUE(RIGHT(J$34,2)),1,1,68)-$R123:$CG123)^2)))</f>
        <v>2.991237202229204</v>
      </c>
      <c r="K123" s="10" t="str">
        <f t="array" aca="1" ref="K123" ca="1">IF(SUM(OFFSET(Factors,VALUE(RIGHT(K$34,2)),1,1,68))=0,"None",SQRT(SUM((OFFSET(Factors,VALUE(RIGHT(K$34,2)),1,1,68)-$R123:$CG123)^2)))</f>
        <v>None</v>
      </c>
      <c r="L123" s="10" t="str">
        <f t="array" aca="1" ref="L123" ca="1">IF(SUM(OFFSET(Factors,VALUE(RIGHT(L$34,2)),1,1,68))=0,"None",SQRT(SUM((OFFSET(Factors,VALUE(RIGHT(L$34,2)),1,1,68)-$R123:$CG123)^2)))</f>
        <v>None</v>
      </c>
      <c r="M123" s="10" t="str">
        <f t="array" aca="1" ref="M123" ca="1">IF(SUM(OFFSET(Factors,VALUE(RIGHT(M$34,2)),1,1,68))=0,"None",SQRT(SUM((OFFSET(Factors,VALUE(RIGHT(M$34,2)),1,1,68)-$R123:$CG123)^2)))</f>
        <v>None</v>
      </c>
      <c r="N123" s="10" t="str">
        <f t="array" aca="1" ref="N123" ca="1">IF(SUM(OFFSET(Factors,VALUE(RIGHT(N$34,2)),1,1,68))=0,"None",SQRT(SUM((OFFSET(Factors,VALUE(RIGHT(N$34,2)),1,1,68)-$R123:$CG123)^2)))</f>
        <v>None</v>
      </c>
      <c r="O123" s="10" t="str">
        <f t="array" aca="1" ref="O123" ca="1">IF(SUM(OFFSET(Factors,VALUE(RIGHT(O$34,2)),1,1,68))=0,"None",SQRT(SUM((OFFSET(Factors,VALUE(RIGHT(O$34,2)),1,1,68)-$R123:$CG123)^2)))</f>
        <v>None</v>
      </c>
      <c r="Q123" s="10" t="s">
        <v>3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1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1</v>
      </c>
      <c r="AG123" s="11">
        <v>1</v>
      </c>
      <c r="AH123" s="11">
        <v>1</v>
      </c>
      <c r="AI123" s="11">
        <v>0</v>
      </c>
      <c r="AJ123" s="11">
        <v>1</v>
      </c>
      <c r="AK123" s="11">
        <v>1</v>
      </c>
      <c r="AL123" s="11">
        <v>0</v>
      </c>
      <c r="AM123" s="11">
        <v>0</v>
      </c>
      <c r="AN123" s="11">
        <v>0</v>
      </c>
      <c r="AO123" s="11">
        <v>0</v>
      </c>
      <c r="AP123" s="11">
        <v>0</v>
      </c>
      <c r="AQ123" s="11">
        <v>0</v>
      </c>
      <c r="AR123" s="11">
        <v>1</v>
      </c>
      <c r="AS123" s="11">
        <v>1</v>
      </c>
      <c r="AT123" s="11">
        <v>0</v>
      </c>
      <c r="AU123" s="11">
        <v>0</v>
      </c>
      <c r="AV123" s="11">
        <v>1</v>
      </c>
      <c r="AW123" s="11">
        <v>0</v>
      </c>
      <c r="AX123" s="11">
        <v>0</v>
      </c>
      <c r="AY123" s="11">
        <v>0</v>
      </c>
      <c r="AZ123" s="11">
        <v>0</v>
      </c>
      <c r="BA123" s="11">
        <v>1</v>
      </c>
      <c r="BB123" s="11">
        <v>0</v>
      </c>
      <c r="BC123" s="11">
        <v>0</v>
      </c>
      <c r="BD123" s="11">
        <v>0</v>
      </c>
      <c r="BE123" s="11">
        <v>0</v>
      </c>
      <c r="BF123" s="11">
        <v>0</v>
      </c>
      <c r="BG123" s="11">
        <v>0</v>
      </c>
      <c r="BH123" s="11">
        <v>0</v>
      </c>
      <c r="BI123" s="11">
        <v>0</v>
      </c>
      <c r="BJ123" s="11">
        <v>1</v>
      </c>
      <c r="BK123" s="11">
        <v>1</v>
      </c>
      <c r="BL123" s="11">
        <v>0</v>
      </c>
      <c r="BM123" s="11">
        <v>0</v>
      </c>
      <c r="BN123" s="11">
        <v>0</v>
      </c>
      <c r="BO123" s="11">
        <v>0</v>
      </c>
      <c r="BP123" s="11">
        <v>0</v>
      </c>
      <c r="BQ123" s="11">
        <v>0</v>
      </c>
      <c r="BR123" s="11">
        <v>0</v>
      </c>
      <c r="BS123" s="11">
        <v>0</v>
      </c>
      <c r="BT123" s="11">
        <v>0</v>
      </c>
      <c r="BU123" s="11">
        <v>0</v>
      </c>
      <c r="BV123" s="11">
        <v>0</v>
      </c>
      <c r="BW123" s="11">
        <v>0</v>
      </c>
      <c r="BX123" s="11">
        <v>0</v>
      </c>
      <c r="BY123" s="11">
        <v>0</v>
      </c>
      <c r="BZ123" s="11">
        <v>0</v>
      </c>
      <c r="CA123" s="11">
        <v>1</v>
      </c>
      <c r="CB123" s="11">
        <v>0</v>
      </c>
      <c r="CC123" s="11">
        <v>0</v>
      </c>
      <c r="CD123" s="11">
        <v>0</v>
      </c>
      <c r="CE123" s="11">
        <v>0</v>
      </c>
      <c r="CF123" s="11">
        <v>0</v>
      </c>
      <c r="CG123" s="11">
        <v>0</v>
      </c>
      <c r="CH123" s="11">
        <f ca="1">E123</f>
        <v>4</v>
      </c>
    </row>
    <row r="124" spans="4:86" x14ac:dyDescent="0.3">
      <c r="D124" s="11">
        <v>4</v>
      </c>
      <c r="E124" s="11">
        <f t="shared" ca="1" si="15"/>
        <v>5</v>
      </c>
      <c r="F124" s="10">
        <f t="array" aca="1" ref="F124" ca="1">IF(SUM(OFFSET(Factors,VALUE(RIGHT(F$34,2)),1,1,68))=0,"None",SQRT(SUM((OFFSET(Factors,VALUE(RIGHT(F$34,2)),1,1,68)-$R124:$CG124)^2)))</f>
        <v>3.4848381916844033</v>
      </c>
      <c r="G124" s="10">
        <f t="array" aca="1" ref="G124" ca="1">IF(SUM(OFFSET(Factors,VALUE(RIGHT(G$34,2)),1,1,68))=0,"None",SQRT(SUM((OFFSET(Factors,VALUE(RIGHT(G$34,2)),1,1,68)-$R124:$CG124)^2)))</f>
        <v>3.6104712931388723</v>
      </c>
      <c r="H124" s="10">
        <f t="array" aca="1" ref="H124" ca="1">IF(SUM(OFFSET(Factors,VALUE(RIGHT(H$34,2)),1,1,68))=0,"None",SQRT(SUM((OFFSET(Factors,VALUE(RIGHT(H$34,2)),1,1,68)-$R124:$CG124)^2)))</f>
        <v>3.6768235124722142</v>
      </c>
      <c r="I124" s="10">
        <f t="array" aca="1" ref="I124" ca="1">IF(SUM(OFFSET(Factors,VALUE(RIGHT(I$34,2)),1,1,68))=0,"None",SQRT(SUM((OFFSET(Factors,VALUE(RIGHT(I$34,2)),1,1,68)-$R124:$CG124)^2)))</f>
        <v>3.4739288735064551</v>
      </c>
      <c r="J124" s="10">
        <f t="array" aca="1" ref="J124" ca="1">IF(SUM(OFFSET(Factors,VALUE(RIGHT(J$34,2)),1,1,68))=0,"None",SQRT(SUM((OFFSET(Factors,VALUE(RIGHT(J$34,2)),1,1,68)-$R124:$CG124)^2)))</f>
        <v>2.9064583258667245</v>
      </c>
      <c r="K124" s="10" t="str">
        <f t="array" aca="1" ref="K124" ca="1">IF(SUM(OFFSET(Factors,VALUE(RIGHT(K$34,2)),1,1,68))=0,"None",SQRT(SUM((OFFSET(Factors,VALUE(RIGHT(K$34,2)),1,1,68)-$R124:$CG124)^2)))</f>
        <v>None</v>
      </c>
      <c r="L124" s="10" t="str">
        <f t="array" aca="1" ref="L124" ca="1">IF(SUM(OFFSET(Factors,VALUE(RIGHT(L$34,2)),1,1,68))=0,"None",SQRT(SUM((OFFSET(Factors,VALUE(RIGHT(L$34,2)),1,1,68)-$R124:$CG124)^2)))</f>
        <v>None</v>
      </c>
      <c r="M124" s="10" t="str">
        <f t="array" aca="1" ref="M124" ca="1">IF(SUM(OFFSET(Factors,VALUE(RIGHT(M$34,2)),1,1,68))=0,"None",SQRT(SUM((OFFSET(Factors,VALUE(RIGHT(M$34,2)),1,1,68)-$R124:$CG124)^2)))</f>
        <v>None</v>
      </c>
      <c r="N124" s="10" t="str">
        <f t="array" aca="1" ref="N124" ca="1">IF(SUM(OFFSET(Factors,VALUE(RIGHT(N$34,2)),1,1,68))=0,"None",SQRT(SUM((OFFSET(Factors,VALUE(RIGHT(N$34,2)),1,1,68)-$R124:$CG124)^2)))</f>
        <v>None</v>
      </c>
      <c r="O124" s="10" t="str">
        <f t="array" aca="1" ref="O124" ca="1">IF(SUM(OFFSET(Factors,VALUE(RIGHT(O$34,2)),1,1,68))=0,"None",SQRT(SUM((OFFSET(Factors,VALUE(RIGHT(O$34,2)),1,1,68)-$R124:$CG124)^2)))</f>
        <v>None</v>
      </c>
      <c r="Q124" s="10" t="s">
        <v>107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1</v>
      </c>
      <c r="AE124" s="11">
        <v>0</v>
      </c>
      <c r="AF124" s="11">
        <v>0</v>
      </c>
      <c r="AG124" s="11">
        <v>0</v>
      </c>
      <c r="AH124" s="11">
        <v>1</v>
      </c>
      <c r="AI124" s="11">
        <v>0</v>
      </c>
      <c r="AJ124" s="11">
        <v>0</v>
      </c>
      <c r="AK124" s="11">
        <v>0</v>
      </c>
      <c r="AL124" s="11">
        <v>0</v>
      </c>
      <c r="AM124" s="11">
        <v>0</v>
      </c>
      <c r="AN124" s="11">
        <v>0</v>
      </c>
      <c r="AO124" s="11">
        <v>0</v>
      </c>
      <c r="AP124" s="11">
        <v>0</v>
      </c>
      <c r="AQ124" s="11">
        <v>1</v>
      </c>
      <c r="AR124" s="11">
        <v>1</v>
      </c>
      <c r="AS124" s="11">
        <v>1</v>
      </c>
      <c r="AT124" s="11">
        <v>1</v>
      </c>
      <c r="AU124" s="11">
        <v>1</v>
      </c>
      <c r="AV124" s="11">
        <v>1</v>
      </c>
      <c r="AW124" s="11">
        <v>0</v>
      </c>
      <c r="AX124" s="11">
        <v>0</v>
      </c>
      <c r="AY124" s="11">
        <v>0</v>
      </c>
      <c r="AZ124" s="11">
        <v>1</v>
      </c>
      <c r="BA124" s="11">
        <v>0</v>
      </c>
      <c r="BB124" s="11">
        <v>1</v>
      </c>
      <c r="BC124" s="11">
        <v>0</v>
      </c>
      <c r="BD124" s="11">
        <v>0</v>
      </c>
      <c r="BE124" s="11">
        <v>0</v>
      </c>
      <c r="BF124" s="11">
        <v>0</v>
      </c>
      <c r="BG124" s="11">
        <v>1</v>
      </c>
      <c r="BH124" s="11">
        <v>0</v>
      </c>
      <c r="BI124" s="11">
        <v>0</v>
      </c>
      <c r="BJ124" s="11">
        <v>1</v>
      </c>
      <c r="BK124" s="11">
        <v>1</v>
      </c>
      <c r="BL124" s="11">
        <v>0</v>
      </c>
      <c r="BM124" s="11">
        <v>0</v>
      </c>
      <c r="BN124" s="11">
        <v>0</v>
      </c>
      <c r="BO124" s="11">
        <v>0</v>
      </c>
      <c r="BP124" s="11">
        <v>0</v>
      </c>
      <c r="BQ124" s="11">
        <v>0</v>
      </c>
      <c r="BR124" s="11">
        <v>0</v>
      </c>
      <c r="BS124" s="11">
        <v>0</v>
      </c>
      <c r="BT124" s="11">
        <v>0</v>
      </c>
      <c r="BU124" s="11">
        <v>1</v>
      </c>
      <c r="BV124" s="11">
        <v>0</v>
      </c>
      <c r="BW124" s="11">
        <v>0</v>
      </c>
      <c r="BX124" s="11">
        <v>0</v>
      </c>
      <c r="BY124" s="11">
        <v>0</v>
      </c>
      <c r="BZ124" s="11">
        <v>0</v>
      </c>
      <c r="CA124" s="11">
        <v>0</v>
      </c>
      <c r="CB124" s="11">
        <v>0</v>
      </c>
      <c r="CC124" s="11">
        <v>0</v>
      </c>
      <c r="CD124" s="11">
        <v>1</v>
      </c>
      <c r="CE124" s="11">
        <v>0</v>
      </c>
      <c r="CF124" s="11">
        <v>0</v>
      </c>
      <c r="CG124" s="11">
        <v>0</v>
      </c>
      <c r="CH124" s="11">
        <f ca="1">E124</f>
        <v>5</v>
      </c>
    </row>
    <row r="125" spans="4:86" x14ac:dyDescent="0.3">
      <c r="D125" s="11">
        <v>4</v>
      </c>
      <c r="E125" s="11">
        <f t="shared" ca="1" si="15"/>
        <v>5</v>
      </c>
      <c r="F125" s="10">
        <f t="array" aca="1" ref="F125" ca="1">IF(SUM(OFFSET(Factors,VALUE(RIGHT(F$34,2)),1,1,68))=0,"None",SQRT(SUM((OFFSET(Factors,VALUE(RIGHT(F$34,2)),1,1,68)-$R125:$CG125)^2)))</f>
        <v>3.2239877825795533</v>
      </c>
      <c r="G125" s="10">
        <f t="array" aca="1" ref="G125" ca="1">IF(SUM(OFFSET(Factors,VALUE(RIGHT(G$34,2)),1,1,68))=0,"None",SQRT(SUM((OFFSET(Factors,VALUE(RIGHT(G$34,2)),1,1,68)-$R125:$CG125)^2)))</f>
        <v>2.7520836646151259</v>
      </c>
      <c r="H125" s="10">
        <f t="array" aca="1" ref="H125" ca="1">IF(SUM(OFFSET(Factors,VALUE(RIGHT(H$34,2)),1,1,68))=0,"None",SQRT(SUM((OFFSET(Factors,VALUE(RIGHT(H$34,2)),1,1,68)-$R125:$CG125)^2)))</f>
        <v>3.1419694967232092</v>
      </c>
      <c r="I125" s="10">
        <f t="array" aca="1" ref="I125" ca="1">IF(SUM(OFFSET(Factors,VALUE(RIGHT(I$34,2)),1,1,68))=0,"None",SQRT(SUM((OFFSET(Factors,VALUE(RIGHT(I$34,2)),1,1,68)-$R125:$CG125)^2)))</f>
        <v>3.1152119437600811</v>
      </c>
      <c r="J125" s="10">
        <f t="array" aca="1" ref="J125" ca="1">IF(SUM(OFFSET(Factors,VALUE(RIGHT(J$34,2)),1,1,68))=0,"None",SQRT(SUM((OFFSET(Factors,VALUE(RIGHT(J$34,2)),1,1,68)-$R125:$CG125)^2)))</f>
        <v>2.67348087705897</v>
      </c>
      <c r="K125" s="10" t="str">
        <f t="array" aca="1" ref="K125" ca="1">IF(SUM(OFFSET(Factors,VALUE(RIGHT(K$34,2)),1,1,68))=0,"None",SQRT(SUM((OFFSET(Factors,VALUE(RIGHT(K$34,2)),1,1,68)-$R125:$CG125)^2)))</f>
        <v>None</v>
      </c>
      <c r="L125" s="10" t="str">
        <f t="array" aca="1" ref="L125" ca="1">IF(SUM(OFFSET(Factors,VALUE(RIGHT(L$34,2)),1,1,68))=0,"None",SQRT(SUM((OFFSET(Factors,VALUE(RIGHT(L$34,2)),1,1,68)-$R125:$CG125)^2)))</f>
        <v>None</v>
      </c>
      <c r="M125" s="10" t="str">
        <f t="array" aca="1" ref="M125" ca="1">IF(SUM(OFFSET(Factors,VALUE(RIGHT(M$34,2)),1,1,68))=0,"None",SQRT(SUM((OFFSET(Factors,VALUE(RIGHT(M$34,2)),1,1,68)-$R125:$CG125)^2)))</f>
        <v>None</v>
      </c>
      <c r="N125" s="10" t="str">
        <f t="array" aca="1" ref="N125" ca="1">IF(SUM(OFFSET(Factors,VALUE(RIGHT(N$34,2)),1,1,68))=0,"None",SQRT(SUM((OFFSET(Factors,VALUE(RIGHT(N$34,2)),1,1,68)-$R125:$CG125)^2)))</f>
        <v>None</v>
      </c>
      <c r="O125" s="10" t="str">
        <f t="array" aca="1" ref="O125" ca="1">IF(SUM(OFFSET(Factors,VALUE(RIGHT(O$34,2)),1,1,68))=0,"None",SQRT(SUM((OFFSET(Factors,VALUE(RIGHT(O$34,2)),1,1,68)-$R125:$CG125)^2)))</f>
        <v>None</v>
      </c>
      <c r="Q125" s="10" t="s">
        <v>105</v>
      </c>
      <c r="R125" s="11">
        <v>0</v>
      </c>
      <c r="S125" s="11">
        <v>0</v>
      </c>
      <c r="T125" s="11">
        <v>0</v>
      </c>
      <c r="U125" s="11">
        <v>0</v>
      </c>
      <c r="V125" s="11">
        <v>1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1</v>
      </c>
      <c r="AI125" s="11">
        <v>0</v>
      </c>
      <c r="AJ125" s="11">
        <v>0</v>
      </c>
      <c r="AK125" s="11">
        <v>0</v>
      </c>
      <c r="AL125" s="11">
        <v>0</v>
      </c>
      <c r="AM125" s="11">
        <v>1</v>
      </c>
      <c r="AN125" s="11">
        <v>0</v>
      </c>
      <c r="AO125" s="11">
        <v>1</v>
      </c>
      <c r="AP125" s="11">
        <v>0</v>
      </c>
      <c r="AQ125" s="11">
        <v>0</v>
      </c>
      <c r="AR125" s="11">
        <v>0</v>
      </c>
      <c r="AS125" s="11">
        <v>0</v>
      </c>
      <c r="AT125" s="11">
        <v>1</v>
      </c>
      <c r="AU125" s="11">
        <v>0</v>
      </c>
      <c r="AV125" s="11">
        <v>0</v>
      </c>
      <c r="AW125" s="11">
        <v>0</v>
      </c>
      <c r="AX125" s="11">
        <v>0</v>
      </c>
      <c r="AY125" s="11">
        <v>0</v>
      </c>
      <c r="AZ125" s="11">
        <v>0</v>
      </c>
      <c r="BA125" s="11">
        <v>0</v>
      </c>
      <c r="BB125" s="11">
        <v>0</v>
      </c>
      <c r="BC125" s="11">
        <v>1</v>
      </c>
      <c r="BD125" s="11">
        <v>0</v>
      </c>
      <c r="BE125" s="11">
        <v>0</v>
      </c>
      <c r="BF125" s="11">
        <v>0</v>
      </c>
      <c r="BG125" s="11">
        <v>0</v>
      </c>
      <c r="BH125" s="11">
        <v>1</v>
      </c>
      <c r="BI125" s="11">
        <v>0</v>
      </c>
      <c r="BJ125" s="11">
        <v>1</v>
      </c>
      <c r="BK125" s="11">
        <v>0</v>
      </c>
      <c r="BL125" s="11">
        <v>0</v>
      </c>
      <c r="BM125" s="11">
        <v>0</v>
      </c>
      <c r="BN125" s="11">
        <v>0</v>
      </c>
      <c r="BO125" s="11">
        <v>0</v>
      </c>
      <c r="BP125" s="11">
        <v>0</v>
      </c>
      <c r="BQ125" s="11">
        <v>0</v>
      </c>
      <c r="BR125" s="11">
        <v>1</v>
      </c>
      <c r="BS125" s="11">
        <v>0</v>
      </c>
      <c r="BT125" s="11">
        <v>0</v>
      </c>
      <c r="BU125" s="11">
        <v>0</v>
      </c>
      <c r="BV125" s="11">
        <v>0</v>
      </c>
      <c r="BW125" s="11">
        <v>0</v>
      </c>
      <c r="BX125" s="11">
        <v>0</v>
      </c>
      <c r="BY125" s="11">
        <v>0</v>
      </c>
      <c r="BZ125" s="11">
        <v>0</v>
      </c>
      <c r="CA125" s="11">
        <v>0</v>
      </c>
      <c r="CB125" s="11">
        <v>0</v>
      </c>
      <c r="CC125" s="11">
        <v>0</v>
      </c>
      <c r="CD125" s="11">
        <v>0</v>
      </c>
      <c r="CE125" s="11">
        <v>0</v>
      </c>
      <c r="CF125" s="11">
        <v>0</v>
      </c>
      <c r="CG125" s="11">
        <v>0</v>
      </c>
      <c r="CH125" s="11">
        <f ca="1">E125</f>
        <v>5</v>
      </c>
    </row>
    <row r="126" spans="4:86" x14ac:dyDescent="0.3">
      <c r="D126" s="11">
        <v>3</v>
      </c>
      <c r="E126" s="11">
        <f t="shared" ca="1" si="15"/>
        <v>5</v>
      </c>
      <c r="F126" s="10">
        <f t="array" aca="1" ref="F126" ca="1">IF(SUM(OFFSET(Factors,VALUE(RIGHT(F$34,2)),1,1,68))=0,"None",SQRT(SUM((OFFSET(Factors,VALUE(RIGHT(F$34,2)),1,1,68)-$R126:$CG126)^2)))</f>
        <v>2.7647960543631824</v>
      </c>
      <c r="G126" s="10">
        <f t="array" aca="1" ref="G126" ca="1">IF(SUM(OFFSET(Factors,VALUE(RIGHT(G$34,2)),1,1,68))=0,"None",SQRT(SUM((OFFSET(Factors,VALUE(RIGHT(G$34,2)),1,1,68)-$R126:$CG126)^2)))</f>
        <v>2.980210865817003</v>
      </c>
      <c r="H126" s="10">
        <f t="array" aca="1" ref="H126" ca="1">IF(SUM(OFFSET(Factors,VALUE(RIGHT(H$34,2)),1,1,68))=0,"None",SQRT(SUM((OFFSET(Factors,VALUE(RIGHT(H$34,2)),1,1,68)-$R126:$CG126)^2)))</f>
        <v>3.0661676540993295</v>
      </c>
      <c r="I126" s="10">
        <f t="array" aca="1" ref="I126" ca="1">IF(SUM(OFFSET(Factors,VALUE(RIGHT(I$34,2)),1,1,68))=0,"None",SQRT(SUM((OFFSET(Factors,VALUE(RIGHT(I$34,2)),1,1,68)-$R126:$CG126)^2)))</f>
        <v>2.7094112074229506</v>
      </c>
      <c r="J126" s="10">
        <f t="array" aca="1" ref="J126" ca="1">IF(SUM(OFFSET(Factors,VALUE(RIGHT(J$34,2)),1,1,68))=0,"None",SQRT(SUM((OFFSET(Factors,VALUE(RIGHT(J$34,2)),1,1,68)-$R126:$CG126)^2)))</f>
        <v>2.539192785118924</v>
      </c>
      <c r="K126" s="10" t="str">
        <f t="array" aca="1" ref="K126" ca="1">IF(SUM(OFFSET(Factors,VALUE(RIGHT(K$34,2)),1,1,68))=0,"None",SQRT(SUM((OFFSET(Factors,VALUE(RIGHT(K$34,2)),1,1,68)-$R126:$CG126)^2)))</f>
        <v>None</v>
      </c>
      <c r="L126" s="10" t="str">
        <f t="array" aca="1" ref="L126" ca="1">IF(SUM(OFFSET(Factors,VALUE(RIGHT(L$34,2)),1,1,68))=0,"None",SQRT(SUM((OFFSET(Factors,VALUE(RIGHT(L$34,2)),1,1,68)-$R126:$CG126)^2)))</f>
        <v>None</v>
      </c>
      <c r="M126" s="10" t="str">
        <f t="array" aca="1" ref="M126" ca="1">IF(SUM(OFFSET(Factors,VALUE(RIGHT(M$34,2)),1,1,68))=0,"None",SQRT(SUM((OFFSET(Factors,VALUE(RIGHT(M$34,2)),1,1,68)-$R126:$CG126)^2)))</f>
        <v>None</v>
      </c>
      <c r="N126" s="10" t="str">
        <f t="array" aca="1" ref="N126" ca="1">IF(SUM(OFFSET(Factors,VALUE(RIGHT(N$34,2)),1,1,68))=0,"None",SQRT(SUM((OFFSET(Factors,VALUE(RIGHT(N$34,2)),1,1,68)-$R126:$CG126)^2)))</f>
        <v>None</v>
      </c>
      <c r="O126" s="10" t="str">
        <f t="array" aca="1" ref="O126" ca="1">IF(SUM(OFFSET(Factors,VALUE(RIGHT(O$34,2)),1,1,68))=0,"None",SQRT(SUM((OFFSET(Factors,VALUE(RIGHT(O$34,2)),1,1,68)-$R126:$CG126)^2)))</f>
        <v>None</v>
      </c>
      <c r="Q126" s="10" t="s">
        <v>100</v>
      </c>
      <c r="R126" s="11">
        <v>0</v>
      </c>
      <c r="S126" s="11">
        <v>0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  <c r="Y126" s="11">
        <v>0</v>
      </c>
      <c r="Z126" s="11">
        <v>0</v>
      </c>
      <c r="AA126" s="11">
        <v>0</v>
      </c>
      <c r="AB126" s="11">
        <v>1</v>
      </c>
      <c r="AC126" s="11">
        <v>0</v>
      </c>
      <c r="AD126" s="11">
        <v>0</v>
      </c>
      <c r="AE126" s="11">
        <v>0</v>
      </c>
      <c r="AF126" s="11">
        <v>1</v>
      </c>
      <c r="AG126" s="11">
        <v>0</v>
      </c>
      <c r="AH126" s="11">
        <v>0</v>
      </c>
      <c r="AI126" s="11">
        <v>0</v>
      </c>
      <c r="AJ126" s="11">
        <v>0</v>
      </c>
      <c r="AK126" s="11">
        <v>0</v>
      </c>
      <c r="AL126" s="11">
        <v>1</v>
      </c>
      <c r="AM126" s="11">
        <v>0</v>
      </c>
      <c r="AN126" s="11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1</v>
      </c>
      <c r="AT126" s="11">
        <v>0</v>
      </c>
      <c r="AU126" s="11">
        <v>0</v>
      </c>
      <c r="AV126" s="11">
        <v>0</v>
      </c>
      <c r="AW126" s="11">
        <v>0</v>
      </c>
      <c r="AX126" s="11">
        <v>0</v>
      </c>
      <c r="AY126" s="11">
        <v>0</v>
      </c>
      <c r="AZ126" s="11">
        <v>1</v>
      </c>
      <c r="BA126" s="11">
        <v>1</v>
      </c>
      <c r="BB126" s="11">
        <v>0</v>
      </c>
      <c r="BC126" s="11">
        <v>0</v>
      </c>
      <c r="BD126" s="11">
        <v>0</v>
      </c>
      <c r="BE126" s="11">
        <v>0</v>
      </c>
      <c r="BF126" s="11">
        <v>0</v>
      </c>
      <c r="BG126" s="11">
        <v>0</v>
      </c>
      <c r="BH126" s="11">
        <v>0</v>
      </c>
      <c r="BI126" s="11">
        <v>0</v>
      </c>
      <c r="BJ126" s="11">
        <v>1</v>
      </c>
      <c r="BK126" s="11">
        <v>0</v>
      </c>
      <c r="BL126" s="11">
        <v>0</v>
      </c>
      <c r="BM126" s="11">
        <v>0</v>
      </c>
      <c r="BN126" s="11">
        <v>0</v>
      </c>
      <c r="BO126" s="11">
        <v>0</v>
      </c>
      <c r="BP126" s="11">
        <v>0</v>
      </c>
      <c r="BQ126" s="11">
        <v>0</v>
      </c>
      <c r="BR126" s="11">
        <v>0</v>
      </c>
      <c r="BS126" s="11">
        <v>0</v>
      </c>
      <c r="BT126" s="11">
        <v>0</v>
      </c>
      <c r="BU126" s="11">
        <v>0</v>
      </c>
      <c r="BV126" s="11">
        <v>0</v>
      </c>
      <c r="BW126" s="11">
        <v>0</v>
      </c>
      <c r="BX126" s="11">
        <v>0</v>
      </c>
      <c r="BY126" s="11">
        <v>0</v>
      </c>
      <c r="BZ126" s="11">
        <v>0</v>
      </c>
      <c r="CA126" s="11">
        <v>1</v>
      </c>
      <c r="CB126" s="11">
        <v>0</v>
      </c>
      <c r="CC126" s="11">
        <v>0</v>
      </c>
      <c r="CD126" s="11">
        <v>1</v>
      </c>
      <c r="CE126" s="11">
        <v>0</v>
      </c>
      <c r="CF126" s="11">
        <v>0</v>
      </c>
      <c r="CG126" s="11">
        <v>0</v>
      </c>
      <c r="CH126" s="11">
        <f ca="1">E126</f>
        <v>5</v>
      </c>
    </row>
    <row r="127" spans="4:86" x14ac:dyDescent="0.3">
      <c r="D127" s="11">
        <v>2</v>
      </c>
      <c r="E127" s="11">
        <f t="shared" ca="1" si="15"/>
        <v>5</v>
      </c>
      <c r="F127" s="10">
        <f t="array" aca="1" ref="F127" ca="1">IF(SUM(OFFSET(Factors,VALUE(RIGHT(F$34,2)),1,1,68))=0,"None",SQRT(SUM((OFFSET(Factors,VALUE(RIGHT(F$34,2)),1,1,68)-$R127:$CG127)^2)))</f>
        <v>3.38783567422559</v>
      </c>
      <c r="G127" s="10">
        <f t="array" aca="1" ref="G127" ca="1">IF(SUM(OFFSET(Factors,VALUE(RIGHT(G$34,2)),1,1,68))=0,"None",SQRT(SUM((OFFSET(Factors,VALUE(RIGHT(G$34,2)),1,1,68)-$R127:$CG127)^2)))</f>
        <v>3.3103745832846179</v>
      </c>
      <c r="H127" s="10">
        <f t="array" aca="1" ref="H127" ca="1">IF(SUM(OFFSET(Factors,VALUE(RIGHT(H$34,2)),1,1,68))=0,"None",SQRT(SUM((OFFSET(Factors,VALUE(RIGHT(H$34,2)),1,1,68)-$R127:$CG127)^2)))</f>
        <v>3.179192733381567</v>
      </c>
      <c r="I127" s="10">
        <f t="array" aca="1" ref="I127" ca="1">IF(SUM(OFFSET(Factors,VALUE(RIGHT(I$34,2)),1,1,68))=0,"None",SQRT(SUM((OFFSET(Factors,VALUE(RIGHT(I$34,2)),1,1,68)-$R127:$CG127)^2)))</f>
        <v>3.5129630073357014</v>
      </c>
      <c r="J127" s="10">
        <f t="array" aca="1" ref="J127" ca="1">IF(SUM(OFFSET(Factors,VALUE(RIGHT(J$34,2)),1,1,68))=0,"None",SQRT(SUM((OFFSET(Factors,VALUE(RIGHT(J$34,2)),1,1,68)-$R127:$CG127)^2)))</f>
        <v>3.0899029110960758</v>
      </c>
      <c r="K127" s="10" t="str">
        <f t="array" aca="1" ref="K127" ca="1">IF(SUM(OFFSET(Factors,VALUE(RIGHT(K$34,2)),1,1,68))=0,"None",SQRT(SUM((OFFSET(Factors,VALUE(RIGHT(K$34,2)),1,1,68)-$R127:$CG127)^2)))</f>
        <v>None</v>
      </c>
      <c r="L127" s="10" t="str">
        <f t="array" aca="1" ref="L127" ca="1">IF(SUM(OFFSET(Factors,VALUE(RIGHT(L$34,2)),1,1,68))=0,"None",SQRT(SUM((OFFSET(Factors,VALUE(RIGHT(L$34,2)),1,1,68)-$R127:$CG127)^2)))</f>
        <v>None</v>
      </c>
      <c r="M127" s="10" t="str">
        <f t="array" aca="1" ref="M127" ca="1">IF(SUM(OFFSET(Factors,VALUE(RIGHT(M$34,2)),1,1,68))=0,"None",SQRT(SUM((OFFSET(Factors,VALUE(RIGHT(M$34,2)),1,1,68)-$R127:$CG127)^2)))</f>
        <v>None</v>
      </c>
      <c r="N127" s="10" t="str">
        <f t="array" aca="1" ref="N127" ca="1">IF(SUM(OFFSET(Factors,VALUE(RIGHT(N$34,2)),1,1,68))=0,"None",SQRT(SUM((OFFSET(Factors,VALUE(RIGHT(N$34,2)),1,1,68)-$R127:$CG127)^2)))</f>
        <v>None</v>
      </c>
      <c r="O127" s="10" t="str">
        <f t="array" aca="1" ref="O127" ca="1">IF(SUM(OFFSET(Factors,VALUE(RIGHT(O$34,2)),1,1,68))=0,"None",SQRT(SUM((OFFSET(Factors,VALUE(RIGHT(O$34,2)),1,1,68)-$R127:$CG127)^2)))</f>
        <v>None</v>
      </c>
      <c r="Q127" s="10" t="s">
        <v>85</v>
      </c>
      <c r="R127" s="11">
        <v>0</v>
      </c>
      <c r="S127" s="11">
        <v>0</v>
      </c>
      <c r="T127" s="11">
        <v>0</v>
      </c>
      <c r="U127" s="11">
        <v>0</v>
      </c>
      <c r="V127" s="11">
        <v>0</v>
      </c>
      <c r="W127" s="11">
        <v>0</v>
      </c>
      <c r="X127" s="11">
        <v>0</v>
      </c>
      <c r="Y127" s="11">
        <v>0</v>
      </c>
      <c r="Z127" s="11">
        <v>0</v>
      </c>
      <c r="AA127" s="11">
        <v>0</v>
      </c>
      <c r="AB127" s="11">
        <v>1</v>
      </c>
      <c r="AC127" s="11">
        <v>0</v>
      </c>
      <c r="AD127" s="11">
        <v>0</v>
      </c>
      <c r="AE127" s="11">
        <v>0</v>
      </c>
      <c r="AF127" s="11">
        <v>0</v>
      </c>
      <c r="AG127" s="11">
        <v>0</v>
      </c>
      <c r="AH127" s="11">
        <v>0</v>
      </c>
      <c r="AI127" s="11">
        <v>0</v>
      </c>
      <c r="AJ127" s="11">
        <v>0</v>
      </c>
      <c r="AK127" s="11">
        <v>0</v>
      </c>
      <c r="AL127" s="11">
        <v>0</v>
      </c>
      <c r="AM127" s="11">
        <v>0</v>
      </c>
      <c r="AN127" s="11">
        <v>1</v>
      </c>
      <c r="AO127" s="11">
        <v>0</v>
      </c>
      <c r="AP127" s="11">
        <v>0</v>
      </c>
      <c r="AQ127" s="11">
        <v>0</v>
      </c>
      <c r="AR127" s="11">
        <v>0</v>
      </c>
      <c r="AS127" s="11">
        <v>0</v>
      </c>
      <c r="AT127" s="11">
        <v>1</v>
      </c>
      <c r="AU127" s="11">
        <v>0</v>
      </c>
      <c r="AV127" s="11">
        <v>0</v>
      </c>
      <c r="AW127" s="11">
        <v>0</v>
      </c>
      <c r="AX127" s="11">
        <v>0</v>
      </c>
      <c r="AY127" s="11">
        <v>1</v>
      </c>
      <c r="AZ127" s="11">
        <v>1</v>
      </c>
      <c r="BA127" s="11">
        <v>0</v>
      </c>
      <c r="BB127" s="11">
        <v>0</v>
      </c>
      <c r="BC127" s="11">
        <v>0</v>
      </c>
      <c r="BD127" s="11">
        <v>0</v>
      </c>
      <c r="BE127" s="11">
        <v>0</v>
      </c>
      <c r="BF127" s="11">
        <v>0</v>
      </c>
      <c r="BG127" s="11">
        <v>0</v>
      </c>
      <c r="BH127" s="11">
        <v>1</v>
      </c>
      <c r="BI127" s="11">
        <v>0</v>
      </c>
      <c r="BJ127" s="11">
        <v>1</v>
      </c>
      <c r="BK127" s="11">
        <v>1</v>
      </c>
      <c r="BL127" s="11">
        <v>0</v>
      </c>
      <c r="BM127" s="11">
        <v>1</v>
      </c>
      <c r="BN127" s="11">
        <v>0</v>
      </c>
      <c r="BO127" s="11">
        <v>0</v>
      </c>
      <c r="BP127" s="11">
        <v>0</v>
      </c>
      <c r="BQ127" s="11">
        <v>0</v>
      </c>
      <c r="BR127" s="11">
        <v>0</v>
      </c>
      <c r="BS127" s="11">
        <v>0</v>
      </c>
      <c r="BT127" s="11">
        <v>0</v>
      </c>
      <c r="BU127" s="11">
        <v>0</v>
      </c>
      <c r="BV127" s="11">
        <v>0</v>
      </c>
      <c r="BW127" s="11">
        <v>0</v>
      </c>
      <c r="BX127" s="11">
        <v>0</v>
      </c>
      <c r="BY127" s="11">
        <v>0</v>
      </c>
      <c r="BZ127" s="11">
        <v>1</v>
      </c>
      <c r="CA127" s="11">
        <v>0</v>
      </c>
      <c r="CB127" s="11">
        <v>0</v>
      </c>
      <c r="CC127" s="11">
        <v>0</v>
      </c>
      <c r="CD127" s="11">
        <v>1</v>
      </c>
      <c r="CE127" s="11">
        <v>0</v>
      </c>
      <c r="CF127" s="11">
        <v>0</v>
      </c>
      <c r="CG127" s="11">
        <v>0</v>
      </c>
      <c r="CH127" s="11">
        <f ca="1">E127</f>
        <v>5</v>
      </c>
    </row>
    <row r="128" spans="4:86" x14ac:dyDescent="0.3">
      <c r="D128" s="11">
        <v>1</v>
      </c>
      <c r="E128" s="11">
        <f t="shared" ca="1" si="15"/>
        <v>5</v>
      </c>
      <c r="F128" s="10">
        <f t="array" aca="1" ref="F128" ca="1">IF(SUM(OFFSET(Factors,VALUE(RIGHT(F$34,2)),1,1,68))=0,"None",SQRT(SUM((OFFSET(Factors,VALUE(RIGHT(F$34,2)),1,1,68)-$R128:$CG128)^2)))</f>
        <v>2.9682930934947933</v>
      </c>
      <c r="G128" s="10">
        <f t="array" aca="1" ref="G128" ca="1">IF(SUM(OFFSET(Factors,VALUE(RIGHT(G$34,2)),1,1,68))=0,"None",SQRT(SUM((OFFSET(Factors,VALUE(RIGHT(G$34,2)),1,1,68)-$R128:$CG128)^2)))</f>
        <v>2.9802108658170035</v>
      </c>
      <c r="H128" s="10">
        <f t="array" aca="1" ref="H128" ca="1">IF(SUM(OFFSET(Factors,VALUE(RIGHT(H$34,2)),1,1,68))=0,"None",SQRT(SUM((OFFSET(Factors,VALUE(RIGHT(H$34,2)),1,1,68)-$R128:$CG128)^2)))</f>
        <v>3.0275551135194751</v>
      </c>
      <c r="I128" s="10">
        <f t="array" aca="1" ref="I128" ca="1">IF(SUM(OFFSET(Factors,VALUE(RIGHT(I$34,2)),1,1,68))=0,"None",SQRT(SUM((OFFSET(Factors,VALUE(RIGHT(I$34,2)),1,1,68)-$R128:$CG128)^2)))</f>
        <v>2.8244066150738152</v>
      </c>
      <c r="J128" s="10">
        <f t="array" aca="1" ref="J128" ca="1">IF(SUM(OFFSET(Factors,VALUE(RIGHT(J$34,2)),1,1,68))=0,"None",SQRT(SUM((OFFSET(Factors,VALUE(RIGHT(J$34,2)),1,1,68)-$R128:$CG128)^2)))</f>
        <v>2.558808316384797</v>
      </c>
      <c r="K128" s="10" t="str">
        <f t="array" aca="1" ref="K128" ca="1">IF(SUM(OFFSET(Factors,VALUE(RIGHT(K$34,2)),1,1,68))=0,"None",SQRT(SUM((OFFSET(Factors,VALUE(RIGHT(K$34,2)),1,1,68)-$R128:$CG128)^2)))</f>
        <v>None</v>
      </c>
      <c r="L128" s="10" t="str">
        <f t="array" aca="1" ref="L128" ca="1">IF(SUM(OFFSET(Factors,VALUE(RIGHT(L$34,2)),1,1,68))=0,"None",SQRT(SUM((OFFSET(Factors,VALUE(RIGHT(L$34,2)),1,1,68)-$R128:$CG128)^2)))</f>
        <v>None</v>
      </c>
      <c r="M128" s="10" t="str">
        <f t="array" aca="1" ref="M128" ca="1">IF(SUM(OFFSET(Factors,VALUE(RIGHT(M$34,2)),1,1,68))=0,"None",SQRT(SUM((OFFSET(Factors,VALUE(RIGHT(M$34,2)),1,1,68)-$R128:$CG128)^2)))</f>
        <v>None</v>
      </c>
      <c r="N128" s="10" t="str">
        <f t="array" aca="1" ref="N128" ca="1">IF(SUM(OFFSET(Factors,VALUE(RIGHT(N$34,2)),1,1,68))=0,"None",SQRT(SUM((OFFSET(Factors,VALUE(RIGHT(N$34,2)),1,1,68)-$R128:$CG128)^2)))</f>
        <v>None</v>
      </c>
      <c r="O128" s="10" t="str">
        <f t="array" aca="1" ref="O128" ca="1">IF(SUM(OFFSET(Factors,VALUE(RIGHT(O$34,2)),1,1,68))=0,"None",SQRT(SUM((OFFSET(Factors,VALUE(RIGHT(O$34,2)),1,1,68)-$R128:$CG128)^2)))</f>
        <v>None</v>
      </c>
      <c r="Q128" s="10" t="s">
        <v>80</v>
      </c>
      <c r="R128" s="11">
        <v>0</v>
      </c>
      <c r="S128" s="11">
        <v>0</v>
      </c>
      <c r="T128" s="11">
        <v>0</v>
      </c>
      <c r="U128" s="11">
        <v>0</v>
      </c>
      <c r="V128" s="11">
        <v>0</v>
      </c>
      <c r="W128" s="11">
        <v>1</v>
      </c>
      <c r="X128" s="11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1</v>
      </c>
      <c r="AG128" s="11">
        <v>0</v>
      </c>
      <c r="AH128" s="11">
        <v>1</v>
      </c>
      <c r="AI128" s="11">
        <v>0</v>
      </c>
      <c r="AJ128" s="11">
        <v>0</v>
      </c>
      <c r="AK128" s="11">
        <v>1</v>
      </c>
      <c r="AL128" s="11">
        <v>0</v>
      </c>
      <c r="AM128" s="11">
        <v>0</v>
      </c>
      <c r="AN128" s="11">
        <v>0</v>
      </c>
      <c r="AO128" s="11">
        <v>1</v>
      </c>
      <c r="AP128" s="11">
        <v>0</v>
      </c>
      <c r="AQ128" s="11">
        <v>0</v>
      </c>
      <c r="AR128" s="11">
        <v>0</v>
      </c>
      <c r="AS128" s="11">
        <v>1</v>
      </c>
      <c r="AT128" s="11">
        <v>1</v>
      </c>
      <c r="AU128" s="11">
        <v>0</v>
      </c>
      <c r="AV128" s="11">
        <v>0</v>
      </c>
      <c r="AW128" s="11">
        <v>0</v>
      </c>
      <c r="AX128" s="11">
        <v>0</v>
      </c>
      <c r="AY128" s="11">
        <v>0</v>
      </c>
      <c r="AZ128" s="11">
        <v>0</v>
      </c>
      <c r="BA128" s="11">
        <v>0</v>
      </c>
      <c r="BB128" s="11">
        <v>0</v>
      </c>
      <c r="BC128" s="11">
        <v>0</v>
      </c>
      <c r="BD128" s="11">
        <v>0</v>
      </c>
      <c r="BE128" s="11">
        <v>0</v>
      </c>
      <c r="BF128" s="11">
        <v>0</v>
      </c>
      <c r="BG128" s="11">
        <v>1</v>
      </c>
      <c r="BH128" s="11">
        <v>0</v>
      </c>
      <c r="BI128" s="11">
        <v>0</v>
      </c>
      <c r="BJ128" s="11">
        <v>1</v>
      </c>
      <c r="BK128" s="11">
        <v>0</v>
      </c>
      <c r="BL128" s="11">
        <v>1</v>
      </c>
      <c r="BM128" s="11">
        <v>0</v>
      </c>
      <c r="BN128" s="11">
        <v>0</v>
      </c>
      <c r="BO128" s="11">
        <v>0</v>
      </c>
      <c r="BP128" s="11">
        <v>0</v>
      </c>
      <c r="BQ128" s="11">
        <v>0</v>
      </c>
      <c r="BR128" s="11">
        <v>0</v>
      </c>
      <c r="BS128" s="11">
        <v>0</v>
      </c>
      <c r="BT128" s="11">
        <v>0</v>
      </c>
      <c r="BU128" s="11">
        <v>0</v>
      </c>
      <c r="BV128" s="11">
        <v>0</v>
      </c>
      <c r="BW128" s="11">
        <v>1</v>
      </c>
      <c r="BX128" s="11">
        <v>0</v>
      </c>
      <c r="BY128" s="11">
        <v>0</v>
      </c>
      <c r="BZ128" s="11">
        <v>0</v>
      </c>
      <c r="CA128" s="11">
        <v>0</v>
      </c>
      <c r="CB128" s="11">
        <v>0</v>
      </c>
      <c r="CC128" s="11">
        <v>0</v>
      </c>
      <c r="CD128" s="11">
        <v>0</v>
      </c>
      <c r="CE128" s="11">
        <v>0</v>
      </c>
      <c r="CF128" s="11">
        <v>0</v>
      </c>
      <c r="CG128" s="11">
        <v>0</v>
      </c>
      <c r="CH128" s="11">
        <f ca="1">E128</f>
        <v>5</v>
      </c>
    </row>
    <row r="129" spans="4:86" x14ac:dyDescent="0.3">
      <c r="D129" s="11">
        <v>4</v>
      </c>
      <c r="E129" s="11">
        <f t="shared" ca="1" si="15"/>
        <v>5</v>
      </c>
      <c r="F129" s="10">
        <f t="array" aca="1" ref="F129" ca="1">IF(SUM(OFFSET(Factors,VALUE(RIGHT(F$34,2)),1,1,68))=0,"None",SQRT(SUM((OFFSET(Factors,VALUE(RIGHT(F$34,2)),1,1,68)-$R129:$CG129)^2)))</f>
        <v>3.2110378211551622</v>
      </c>
      <c r="G129" s="10">
        <f t="array" aca="1" ref="G129" ca="1">IF(SUM(OFFSET(Factors,VALUE(RIGHT(G$34,2)),1,1,68))=0,"None",SQRT(SUM((OFFSET(Factors,VALUE(RIGHT(G$34,2)),1,1,68)-$R129:$CG129)^2)))</f>
        <v>3.1800040936299063</v>
      </c>
      <c r="H129" s="10">
        <f t="array" aca="1" ref="H129" ca="1">IF(SUM(OFFSET(Factors,VALUE(RIGHT(H$34,2)),1,1,68))=0,"None",SQRT(SUM((OFFSET(Factors,VALUE(RIGHT(H$34,2)),1,1,68)-$R129:$CG129)^2)))</f>
        <v>3.2068266283385904</v>
      </c>
      <c r="I129" s="10">
        <f t="array" aca="1" ref="I129" ca="1">IF(SUM(OFFSET(Factors,VALUE(RIGHT(I$34,2)),1,1,68))=0,"None",SQRT(SUM((OFFSET(Factors,VALUE(RIGHT(I$34,2)),1,1,68)-$R129:$CG129)^2)))</f>
        <v>3.2298325315437304</v>
      </c>
      <c r="J129" s="10">
        <f t="array" aca="1" ref="J129" ca="1">IF(SUM(OFFSET(Factors,VALUE(RIGHT(J$34,2)),1,1,68))=0,"None",SQRT(SUM((OFFSET(Factors,VALUE(RIGHT(J$34,2)),1,1,68)-$R129:$CG129)^2)))</f>
        <v>2.8368115905008566</v>
      </c>
      <c r="K129" s="10" t="str">
        <f t="array" aca="1" ref="K129" ca="1">IF(SUM(OFFSET(Factors,VALUE(RIGHT(K$34,2)),1,1,68))=0,"None",SQRT(SUM((OFFSET(Factors,VALUE(RIGHT(K$34,2)),1,1,68)-$R129:$CG129)^2)))</f>
        <v>None</v>
      </c>
      <c r="L129" s="10" t="str">
        <f t="array" aca="1" ref="L129" ca="1">IF(SUM(OFFSET(Factors,VALUE(RIGHT(L$34,2)),1,1,68))=0,"None",SQRT(SUM((OFFSET(Factors,VALUE(RIGHT(L$34,2)),1,1,68)-$R129:$CG129)^2)))</f>
        <v>None</v>
      </c>
      <c r="M129" s="10" t="str">
        <f t="array" aca="1" ref="M129" ca="1">IF(SUM(OFFSET(Factors,VALUE(RIGHT(M$34,2)),1,1,68))=0,"None",SQRT(SUM((OFFSET(Factors,VALUE(RIGHT(M$34,2)),1,1,68)-$R129:$CG129)^2)))</f>
        <v>None</v>
      </c>
      <c r="N129" s="10" t="str">
        <f t="array" aca="1" ref="N129" ca="1">IF(SUM(OFFSET(Factors,VALUE(RIGHT(N$34,2)),1,1,68))=0,"None",SQRT(SUM((OFFSET(Factors,VALUE(RIGHT(N$34,2)),1,1,68)-$R129:$CG129)^2)))</f>
        <v>None</v>
      </c>
      <c r="O129" s="10" t="str">
        <f t="array" aca="1" ref="O129" ca="1">IF(SUM(OFFSET(Factors,VALUE(RIGHT(O$34,2)),1,1,68))=0,"None",SQRT(SUM((OFFSET(Factors,VALUE(RIGHT(O$34,2)),1,1,68)-$R129:$CG129)^2)))</f>
        <v>None</v>
      </c>
      <c r="Q129" s="10" t="s">
        <v>79</v>
      </c>
      <c r="R129" s="11">
        <v>0</v>
      </c>
      <c r="S129" s="11">
        <v>0</v>
      </c>
      <c r="T129" s="11">
        <v>0</v>
      </c>
      <c r="U129" s="11">
        <v>0</v>
      </c>
      <c r="V129" s="11">
        <v>0</v>
      </c>
      <c r="W129" s="11">
        <v>0</v>
      </c>
      <c r="X129" s="11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1</v>
      </c>
      <c r="AD129" s="11">
        <v>0</v>
      </c>
      <c r="AE129" s="11">
        <v>0</v>
      </c>
      <c r="AF129" s="11">
        <v>0</v>
      </c>
      <c r="AG129" s="11">
        <v>1</v>
      </c>
      <c r="AH129" s="11">
        <v>1</v>
      </c>
      <c r="AI129" s="11">
        <v>0</v>
      </c>
      <c r="AJ129" s="11">
        <v>0</v>
      </c>
      <c r="AK129" s="11">
        <v>0</v>
      </c>
      <c r="AL129" s="11">
        <v>0</v>
      </c>
      <c r="AM129" s="11">
        <v>1</v>
      </c>
      <c r="AN129" s="11">
        <v>0</v>
      </c>
      <c r="AO129" s="11">
        <v>0</v>
      </c>
      <c r="AP129" s="11">
        <v>0</v>
      </c>
      <c r="AQ129" s="11">
        <v>1</v>
      </c>
      <c r="AR129" s="11">
        <v>0</v>
      </c>
      <c r="AS129" s="11">
        <v>0</v>
      </c>
      <c r="AT129" s="11">
        <v>1</v>
      </c>
      <c r="AU129" s="11">
        <v>0</v>
      </c>
      <c r="AV129" s="11">
        <v>0</v>
      </c>
      <c r="AW129" s="11">
        <v>0</v>
      </c>
      <c r="AX129" s="11">
        <v>0</v>
      </c>
      <c r="AY129" s="11">
        <v>0</v>
      </c>
      <c r="AZ129" s="11">
        <v>0</v>
      </c>
      <c r="BA129" s="11">
        <v>0</v>
      </c>
      <c r="BB129" s="11">
        <v>0</v>
      </c>
      <c r="BC129" s="11">
        <v>0</v>
      </c>
      <c r="BD129" s="11">
        <v>0</v>
      </c>
      <c r="BE129" s="11">
        <v>0</v>
      </c>
      <c r="BF129" s="11">
        <v>0</v>
      </c>
      <c r="BG129" s="11">
        <v>0</v>
      </c>
      <c r="BH129" s="11">
        <v>0</v>
      </c>
      <c r="BI129" s="11">
        <v>1</v>
      </c>
      <c r="BJ129" s="11">
        <v>1</v>
      </c>
      <c r="BK129" s="11">
        <v>0</v>
      </c>
      <c r="BL129" s="11">
        <v>0</v>
      </c>
      <c r="BM129" s="11">
        <v>0</v>
      </c>
      <c r="BN129" s="11">
        <v>0</v>
      </c>
      <c r="BO129" s="11">
        <v>0</v>
      </c>
      <c r="BP129" s="11">
        <v>1</v>
      </c>
      <c r="BQ129" s="11">
        <v>0</v>
      </c>
      <c r="BR129" s="11">
        <v>0</v>
      </c>
      <c r="BS129" s="11">
        <v>0</v>
      </c>
      <c r="BT129" s="11">
        <v>1</v>
      </c>
      <c r="BU129" s="11">
        <v>0</v>
      </c>
      <c r="BV129" s="11">
        <v>0</v>
      </c>
      <c r="BW129" s="11">
        <v>1</v>
      </c>
      <c r="BX129" s="11">
        <v>0</v>
      </c>
      <c r="BY129" s="11">
        <v>0</v>
      </c>
      <c r="BZ129" s="11">
        <v>0</v>
      </c>
      <c r="CA129" s="11">
        <v>0</v>
      </c>
      <c r="CB129" s="11">
        <v>0</v>
      </c>
      <c r="CC129" s="11">
        <v>0</v>
      </c>
      <c r="CD129" s="11">
        <v>0</v>
      </c>
      <c r="CE129" s="11">
        <v>1</v>
      </c>
      <c r="CF129" s="11">
        <v>0</v>
      </c>
      <c r="CG129" s="11">
        <v>0</v>
      </c>
      <c r="CH129" s="11">
        <f ca="1">E129</f>
        <v>5</v>
      </c>
    </row>
    <row r="130" spans="4:86" x14ac:dyDescent="0.3">
      <c r="D130" s="11">
        <v>5</v>
      </c>
      <c r="E130" s="11">
        <f t="shared" ca="1" si="15"/>
        <v>5</v>
      </c>
      <c r="F130" s="10">
        <f t="array" aca="1" ref="F130" ca="1">IF(SUM(OFFSET(Factors,VALUE(RIGHT(F$34,2)),1,1,68))=0,"None",SQRT(SUM((OFFSET(Factors,VALUE(RIGHT(F$34,2)),1,1,68)-$R130:$CG130)^2)))</f>
        <v>3.7719266370855569</v>
      </c>
      <c r="G130" s="10">
        <f t="array" aca="1" ref="G130" ca="1">IF(SUM(OFFSET(Factors,VALUE(RIGHT(G$34,2)),1,1,68))=0,"None",SQRT(SUM((OFFSET(Factors,VALUE(RIGHT(G$34,2)),1,1,68)-$R130:$CG130)^2)))</f>
        <v>3.8775640495780186</v>
      </c>
      <c r="H130" s="10">
        <f t="array" aca="1" ref="H130" ca="1">IF(SUM(OFFSET(Factors,VALUE(RIGHT(H$34,2)),1,1,68))=0,"None",SQRT(SUM((OFFSET(Factors,VALUE(RIGHT(H$34,2)),1,1,68)-$R130:$CG130)^2)))</f>
        <v>3.8640387999799981</v>
      </c>
      <c r="I130" s="10">
        <f t="array" aca="1" ref="I130" ca="1">IF(SUM(OFFSET(Factors,VALUE(RIGHT(I$34,2)),1,1,68))=0,"None",SQRT(SUM((OFFSET(Factors,VALUE(RIGHT(I$34,2)),1,1,68)-$R130:$CG130)^2)))</f>
        <v>3.6149940274061065</v>
      </c>
      <c r="J130" s="10">
        <f t="array" aca="1" ref="J130" ca="1">IF(SUM(OFFSET(Factors,VALUE(RIGHT(J$34,2)),1,1,68))=0,"None",SQRT(SUM((OFFSET(Factors,VALUE(RIGHT(J$34,2)),1,1,68)-$R130:$CG130)^2)))</f>
        <v>3.1697791721190929</v>
      </c>
      <c r="K130" s="10" t="str">
        <f t="array" aca="1" ref="K130" ca="1">IF(SUM(OFFSET(Factors,VALUE(RIGHT(K$34,2)),1,1,68))=0,"None",SQRT(SUM((OFFSET(Factors,VALUE(RIGHT(K$34,2)),1,1,68)-$R130:$CG130)^2)))</f>
        <v>None</v>
      </c>
      <c r="L130" s="10" t="str">
        <f t="array" aca="1" ref="L130" ca="1">IF(SUM(OFFSET(Factors,VALUE(RIGHT(L$34,2)),1,1,68))=0,"None",SQRT(SUM((OFFSET(Factors,VALUE(RIGHT(L$34,2)),1,1,68)-$R130:$CG130)^2)))</f>
        <v>None</v>
      </c>
      <c r="M130" s="10" t="str">
        <f t="array" aca="1" ref="M130" ca="1">IF(SUM(OFFSET(Factors,VALUE(RIGHT(M$34,2)),1,1,68))=0,"None",SQRT(SUM((OFFSET(Factors,VALUE(RIGHT(M$34,2)),1,1,68)-$R130:$CG130)^2)))</f>
        <v>None</v>
      </c>
      <c r="N130" s="10" t="str">
        <f t="array" aca="1" ref="N130" ca="1">IF(SUM(OFFSET(Factors,VALUE(RIGHT(N$34,2)),1,1,68))=0,"None",SQRT(SUM((OFFSET(Factors,VALUE(RIGHT(N$34,2)),1,1,68)-$R130:$CG130)^2)))</f>
        <v>None</v>
      </c>
      <c r="O130" s="10" t="str">
        <f t="array" aca="1" ref="O130" ca="1">IF(SUM(OFFSET(Factors,VALUE(RIGHT(O$34,2)),1,1,68))=0,"None",SQRT(SUM((OFFSET(Factors,VALUE(RIGHT(O$34,2)),1,1,68)-$R130:$CG130)^2)))</f>
        <v>None</v>
      </c>
      <c r="Q130" s="10" t="s">
        <v>78</v>
      </c>
      <c r="R130" s="11">
        <v>0</v>
      </c>
      <c r="S130" s="11">
        <v>0</v>
      </c>
      <c r="T130" s="11">
        <v>0</v>
      </c>
      <c r="U130" s="11">
        <v>0</v>
      </c>
      <c r="V130" s="11">
        <v>0</v>
      </c>
      <c r="W130" s="11">
        <v>0</v>
      </c>
      <c r="X130" s="11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1</v>
      </c>
      <c r="AD130" s="11">
        <v>0</v>
      </c>
      <c r="AE130" s="11">
        <v>0</v>
      </c>
      <c r="AF130" s="11">
        <v>0</v>
      </c>
      <c r="AG130" s="11">
        <v>0</v>
      </c>
      <c r="AH130" s="11">
        <v>1</v>
      </c>
      <c r="AI130" s="11">
        <v>0</v>
      </c>
      <c r="AJ130" s="11">
        <v>0</v>
      </c>
      <c r="AK130" s="11">
        <v>0</v>
      </c>
      <c r="AL130" s="11">
        <v>1</v>
      </c>
      <c r="AM130" s="11">
        <v>0</v>
      </c>
      <c r="AN130" s="11">
        <v>0</v>
      </c>
      <c r="AO130" s="11">
        <v>1</v>
      </c>
      <c r="AP130" s="11">
        <v>0</v>
      </c>
      <c r="AQ130" s="11">
        <v>0</v>
      </c>
      <c r="AR130" s="11">
        <v>1</v>
      </c>
      <c r="AS130" s="11">
        <v>1</v>
      </c>
      <c r="AT130" s="11">
        <v>1</v>
      </c>
      <c r="AU130" s="11">
        <v>0</v>
      </c>
      <c r="AV130" s="11">
        <v>0</v>
      </c>
      <c r="AW130" s="11">
        <v>0</v>
      </c>
      <c r="AX130" s="11">
        <v>0</v>
      </c>
      <c r="AY130" s="11">
        <v>0</v>
      </c>
      <c r="AZ130" s="11">
        <v>1</v>
      </c>
      <c r="BA130" s="11">
        <v>1</v>
      </c>
      <c r="BB130" s="11">
        <v>0</v>
      </c>
      <c r="BC130" s="11">
        <v>1</v>
      </c>
      <c r="BD130" s="11">
        <v>0</v>
      </c>
      <c r="BE130" s="11">
        <v>1</v>
      </c>
      <c r="BF130" s="11">
        <v>0</v>
      </c>
      <c r="BG130" s="11">
        <v>1</v>
      </c>
      <c r="BH130" s="11">
        <v>0</v>
      </c>
      <c r="BI130" s="11">
        <v>1</v>
      </c>
      <c r="BJ130" s="11">
        <v>0</v>
      </c>
      <c r="BK130" s="11">
        <v>1</v>
      </c>
      <c r="BL130" s="11">
        <v>0</v>
      </c>
      <c r="BM130" s="11">
        <v>1</v>
      </c>
      <c r="BN130" s="11">
        <v>0</v>
      </c>
      <c r="BO130" s="11">
        <v>0</v>
      </c>
      <c r="BP130" s="11">
        <v>0</v>
      </c>
      <c r="BQ130" s="11">
        <v>0</v>
      </c>
      <c r="BR130" s="11">
        <v>0</v>
      </c>
      <c r="BS130" s="11">
        <v>0</v>
      </c>
      <c r="BT130" s="11">
        <v>0</v>
      </c>
      <c r="BU130" s="11">
        <v>0</v>
      </c>
      <c r="BV130" s="11">
        <v>1</v>
      </c>
      <c r="BW130" s="11">
        <v>0</v>
      </c>
      <c r="BX130" s="11">
        <v>0</v>
      </c>
      <c r="BY130" s="11">
        <v>0</v>
      </c>
      <c r="BZ130" s="11">
        <v>0</v>
      </c>
      <c r="CA130" s="11">
        <v>0</v>
      </c>
      <c r="CB130" s="11">
        <v>0</v>
      </c>
      <c r="CC130" s="11">
        <v>0</v>
      </c>
      <c r="CD130" s="11">
        <v>0</v>
      </c>
      <c r="CE130" s="11">
        <v>1</v>
      </c>
      <c r="CF130" s="11">
        <v>0</v>
      </c>
      <c r="CG130" s="11">
        <v>0</v>
      </c>
      <c r="CH130" s="11">
        <f ca="1">E130</f>
        <v>5</v>
      </c>
    </row>
    <row r="131" spans="4:86" x14ac:dyDescent="0.3">
      <c r="D131" s="11">
        <v>5</v>
      </c>
      <c r="E131" s="11">
        <f t="shared" ref="E131:E162" ca="1" si="16">MATCH(MIN(F131:O131),F131:O131,0)</f>
        <v>5</v>
      </c>
      <c r="F131" s="10">
        <f t="array" aca="1" ref="F131" ca="1">IF(SUM(OFFSET(Factors,VALUE(RIGHT(F$34,2)),1,1,68))=0,"None",SQRT(SUM((OFFSET(Factors,VALUE(RIGHT(F$34,2)),1,1,68)-$R131:$CG131)^2)))</f>
        <v>2.9962360647244659</v>
      </c>
      <c r="G131" s="10">
        <f t="array" aca="1" ref="G131" ca="1">IF(SUM(OFFSET(Factors,VALUE(RIGHT(G$34,2)),1,1,68))=0,"None",SQRT(SUM((OFFSET(Factors,VALUE(RIGHT(G$34,2)),1,1,68)-$R131:$CG131)^2)))</f>
        <v>3.4245891214695492</v>
      </c>
      <c r="H131" s="10">
        <f t="array" aca="1" ref="H131" ca="1">IF(SUM(OFFSET(Factors,VALUE(RIGHT(H$34,2)),1,1,68))=0,"None",SQRT(SUM((OFFSET(Factors,VALUE(RIGHT(H$34,2)),1,1,68)-$R131:$CG131)^2)))</f>
        <v>3.2883352610291023</v>
      </c>
      <c r="I131" s="10">
        <f t="array" aca="1" ref="I131" ca="1">IF(SUM(OFFSET(Factors,VALUE(RIGHT(I$34,2)),1,1,68))=0,"None",SQRT(SUM((OFFSET(Factors,VALUE(RIGHT(I$34,2)),1,1,68)-$R131:$CG131)^2)))</f>
        <v>3.0858916495443052</v>
      </c>
      <c r="J131" s="10">
        <f t="array" aca="1" ref="J131" ca="1">IF(SUM(OFFSET(Factors,VALUE(RIGHT(J$34,2)),1,1,68))=0,"None",SQRT(SUM((OFFSET(Factors,VALUE(RIGHT(J$34,2)),1,1,68)-$R131:$CG131)^2)))</f>
        <v>2.7654113618049663</v>
      </c>
      <c r="K131" s="10" t="str">
        <f t="array" aca="1" ref="K131" ca="1">IF(SUM(OFFSET(Factors,VALUE(RIGHT(K$34,2)),1,1,68))=0,"None",SQRT(SUM((OFFSET(Factors,VALUE(RIGHT(K$34,2)),1,1,68)-$R131:$CG131)^2)))</f>
        <v>None</v>
      </c>
      <c r="L131" s="10" t="str">
        <f t="array" aca="1" ref="L131" ca="1">IF(SUM(OFFSET(Factors,VALUE(RIGHT(L$34,2)),1,1,68))=0,"None",SQRT(SUM((OFFSET(Factors,VALUE(RIGHT(L$34,2)),1,1,68)-$R131:$CG131)^2)))</f>
        <v>None</v>
      </c>
      <c r="M131" s="10" t="str">
        <f t="array" aca="1" ref="M131" ca="1">IF(SUM(OFFSET(Factors,VALUE(RIGHT(M$34,2)),1,1,68))=0,"None",SQRT(SUM((OFFSET(Factors,VALUE(RIGHT(M$34,2)),1,1,68)-$R131:$CG131)^2)))</f>
        <v>None</v>
      </c>
      <c r="N131" s="10" t="str">
        <f t="array" aca="1" ref="N131" ca="1">IF(SUM(OFFSET(Factors,VALUE(RIGHT(N$34,2)),1,1,68))=0,"None",SQRT(SUM((OFFSET(Factors,VALUE(RIGHT(N$34,2)),1,1,68)-$R131:$CG131)^2)))</f>
        <v>None</v>
      </c>
      <c r="O131" s="10" t="str">
        <f t="array" aca="1" ref="O131" ca="1">IF(SUM(OFFSET(Factors,VALUE(RIGHT(O$34,2)),1,1,68))=0,"None",SQRT(SUM((OFFSET(Factors,VALUE(RIGHT(O$34,2)),1,1,68)-$R131:$CG131)^2)))</f>
        <v>None</v>
      </c>
      <c r="Q131" s="10" t="s">
        <v>64</v>
      </c>
      <c r="R131" s="11">
        <v>0</v>
      </c>
      <c r="S131" s="11">
        <v>0</v>
      </c>
      <c r="T131" s="11">
        <v>0</v>
      </c>
      <c r="U131" s="11">
        <v>0</v>
      </c>
      <c r="V131" s="11">
        <v>0</v>
      </c>
      <c r="W131" s="11">
        <v>0</v>
      </c>
      <c r="X131" s="11">
        <v>0</v>
      </c>
      <c r="Y131" s="11">
        <v>1</v>
      </c>
      <c r="Z131" s="11">
        <v>0</v>
      </c>
      <c r="AA131" s="11">
        <v>0</v>
      </c>
      <c r="AB131" s="11">
        <v>0</v>
      </c>
      <c r="AC131" s="11">
        <v>0</v>
      </c>
      <c r="AD131" s="11">
        <v>0</v>
      </c>
      <c r="AE131" s="11">
        <v>0</v>
      </c>
      <c r="AF131" s="11">
        <v>0</v>
      </c>
      <c r="AG131" s="11">
        <v>1</v>
      </c>
      <c r="AH131" s="11">
        <v>1</v>
      </c>
      <c r="AI131" s="11">
        <v>0</v>
      </c>
      <c r="AJ131" s="11">
        <v>0</v>
      </c>
      <c r="AK131" s="11">
        <v>1</v>
      </c>
      <c r="AL131" s="11">
        <v>0</v>
      </c>
      <c r="AM131" s="11">
        <v>0</v>
      </c>
      <c r="AN131" s="11">
        <v>0</v>
      </c>
      <c r="AO131" s="11">
        <v>0</v>
      </c>
      <c r="AP131" s="11">
        <v>0</v>
      </c>
      <c r="AQ131" s="11">
        <v>1</v>
      </c>
      <c r="AR131" s="11">
        <v>0</v>
      </c>
      <c r="AS131" s="11">
        <v>1</v>
      </c>
      <c r="AT131" s="11">
        <v>1</v>
      </c>
      <c r="AU131" s="11">
        <v>0</v>
      </c>
      <c r="AV131" s="11">
        <v>1</v>
      </c>
      <c r="AW131" s="11">
        <v>0</v>
      </c>
      <c r="AX131" s="11">
        <v>0</v>
      </c>
      <c r="AY131" s="11">
        <v>0</v>
      </c>
      <c r="AZ131" s="11">
        <v>1</v>
      </c>
      <c r="BA131" s="11">
        <v>1</v>
      </c>
      <c r="BB131" s="11">
        <v>0</v>
      </c>
      <c r="BC131" s="11">
        <v>0</v>
      </c>
      <c r="BD131" s="11">
        <v>0</v>
      </c>
      <c r="BE131" s="11">
        <v>0</v>
      </c>
      <c r="BF131" s="11">
        <v>1</v>
      </c>
      <c r="BG131" s="11">
        <v>0</v>
      </c>
      <c r="BH131" s="11">
        <v>0</v>
      </c>
      <c r="BI131" s="11">
        <v>0</v>
      </c>
      <c r="BJ131" s="11">
        <v>1</v>
      </c>
      <c r="BK131" s="11">
        <v>0</v>
      </c>
      <c r="BL131" s="11">
        <v>0</v>
      </c>
      <c r="BM131" s="11">
        <v>0</v>
      </c>
      <c r="BN131" s="11">
        <v>0</v>
      </c>
      <c r="BO131" s="11">
        <v>0</v>
      </c>
      <c r="BP131" s="11">
        <v>1</v>
      </c>
      <c r="BQ131" s="11">
        <v>0</v>
      </c>
      <c r="BR131" s="11">
        <v>0</v>
      </c>
      <c r="BS131" s="11">
        <v>0</v>
      </c>
      <c r="BT131" s="11">
        <v>1</v>
      </c>
      <c r="BU131" s="11">
        <v>0</v>
      </c>
      <c r="BV131" s="11">
        <v>0</v>
      </c>
      <c r="BW131" s="11">
        <v>0</v>
      </c>
      <c r="BX131" s="11">
        <v>0</v>
      </c>
      <c r="BY131" s="11">
        <v>0</v>
      </c>
      <c r="BZ131" s="11">
        <v>1</v>
      </c>
      <c r="CA131" s="11">
        <v>0</v>
      </c>
      <c r="CB131" s="11">
        <v>0</v>
      </c>
      <c r="CC131" s="11">
        <v>0</v>
      </c>
      <c r="CD131" s="11">
        <v>0</v>
      </c>
      <c r="CE131" s="11">
        <v>0</v>
      </c>
      <c r="CF131" s="11">
        <v>0</v>
      </c>
      <c r="CG131" s="11">
        <v>0</v>
      </c>
      <c r="CH131" s="11">
        <f ca="1">E131</f>
        <v>5</v>
      </c>
    </row>
    <row r="132" spans="4:86" x14ac:dyDescent="0.3">
      <c r="D132" s="11">
        <v>3</v>
      </c>
      <c r="E132" s="11">
        <f t="shared" ca="1" si="16"/>
        <v>5</v>
      </c>
      <c r="F132" s="10">
        <f t="array" aca="1" ref="F132" ca="1">IF(SUM(OFFSET(Factors,VALUE(RIGHT(F$34,2)),1,1,68))=0,"None",SQRT(SUM((OFFSET(Factors,VALUE(RIGHT(F$34,2)),1,1,68)-$R132:$CG132)^2)))</f>
        <v>3.2625292676422419</v>
      </c>
      <c r="G132" s="10">
        <f t="array" aca="1" ref="G132" ca="1">IF(SUM(OFFSET(Factors,VALUE(RIGHT(G$34,2)),1,1,68))=0,"None",SQRT(SUM((OFFSET(Factors,VALUE(RIGHT(G$34,2)),1,1,68)-$R132:$CG132)^2)))</f>
        <v>3.2399137982542605</v>
      </c>
      <c r="H132" s="10">
        <f t="array" aca="1" ref="H132" ca="1">IF(SUM(OFFSET(Factors,VALUE(RIGHT(H$34,2)),1,1,68))=0,"None",SQRT(SUM((OFFSET(Factors,VALUE(RIGHT(H$34,2)),1,1,68)-$R132:$CG132)^2)))</f>
        <v>3.160635913414044</v>
      </c>
      <c r="I132" s="10">
        <f t="array" aca="1" ref="I132" ca="1">IF(SUM(OFFSET(Factors,VALUE(RIGHT(I$34,2)),1,1,68))=0,"None",SQRT(SUM((OFFSET(Factors,VALUE(RIGHT(I$34,2)),1,1,68)-$R132:$CG132)^2)))</f>
        <v>3.0562900861844078</v>
      </c>
      <c r="J132" s="10">
        <f t="array" aca="1" ref="J132" ca="1">IF(SUM(OFFSET(Factors,VALUE(RIGHT(J$34,2)),1,1,68))=0,"None",SQRT(SUM((OFFSET(Factors,VALUE(RIGHT(J$34,2)),1,1,68)-$R132:$CG132)^2)))</f>
        <v>2.67348087705897</v>
      </c>
      <c r="K132" s="10" t="str">
        <f t="array" aca="1" ref="K132" ca="1">IF(SUM(OFFSET(Factors,VALUE(RIGHT(K$34,2)),1,1,68))=0,"None",SQRT(SUM((OFFSET(Factors,VALUE(RIGHT(K$34,2)),1,1,68)-$R132:$CG132)^2)))</f>
        <v>None</v>
      </c>
      <c r="L132" s="10" t="str">
        <f t="array" aca="1" ref="L132" ca="1">IF(SUM(OFFSET(Factors,VALUE(RIGHT(L$34,2)),1,1,68))=0,"None",SQRT(SUM((OFFSET(Factors,VALUE(RIGHT(L$34,2)),1,1,68)-$R132:$CG132)^2)))</f>
        <v>None</v>
      </c>
      <c r="M132" s="10" t="str">
        <f t="array" aca="1" ref="M132" ca="1">IF(SUM(OFFSET(Factors,VALUE(RIGHT(M$34,2)),1,1,68))=0,"None",SQRT(SUM((OFFSET(Factors,VALUE(RIGHT(M$34,2)),1,1,68)-$R132:$CG132)^2)))</f>
        <v>None</v>
      </c>
      <c r="N132" s="10" t="str">
        <f t="array" aca="1" ref="N132" ca="1">IF(SUM(OFFSET(Factors,VALUE(RIGHT(N$34,2)),1,1,68))=0,"None",SQRT(SUM((OFFSET(Factors,VALUE(RIGHT(N$34,2)),1,1,68)-$R132:$CG132)^2)))</f>
        <v>None</v>
      </c>
      <c r="O132" s="10" t="str">
        <f t="array" aca="1" ref="O132" ca="1">IF(SUM(OFFSET(Factors,VALUE(RIGHT(O$34,2)),1,1,68))=0,"None",SQRT(SUM((OFFSET(Factors,VALUE(RIGHT(O$34,2)),1,1,68)-$R132:$CG132)^2)))</f>
        <v>None</v>
      </c>
      <c r="Q132" s="10" t="s">
        <v>58</v>
      </c>
      <c r="R132" s="11">
        <v>0</v>
      </c>
      <c r="S132" s="11">
        <v>0</v>
      </c>
      <c r="T132" s="11">
        <v>0</v>
      </c>
      <c r="U132" s="11">
        <v>0</v>
      </c>
      <c r="V132" s="11">
        <v>0</v>
      </c>
      <c r="W132" s="11">
        <v>1</v>
      </c>
      <c r="X132" s="11">
        <v>0</v>
      </c>
      <c r="Y132" s="11">
        <v>0</v>
      </c>
      <c r="Z132" s="11">
        <v>0</v>
      </c>
      <c r="AA132" s="11">
        <v>0</v>
      </c>
      <c r="AB132" s="11">
        <v>0</v>
      </c>
      <c r="AC132" s="11">
        <v>0</v>
      </c>
      <c r="AD132" s="11">
        <v>0</v>
      </c>
      <c r="AE132" s="11">
        <v>0</v>
      </c>
      <c r="AF132" s="11">
        <v>0</v>
      </c>
      <c r="AG132" s="11">
        <v>0</v>
      </c>
      <c r="AH132" s="11">
        <v>1</v>
      </c>
      <c r="AI132" s="11">
        <v>0</v>
      </c>
      <c r="AJ132" s="11">
        <v>0</v>
      </c>
      <c r="AK132" s="11">
        <v>1</v>
      </c>
      <c r="AL132" s="11">
        <v>0</v>
      </c>
      <c r="AM132" s="11">
        <v>0</v>
      </c>
      <c r="AN132" s="11">
        <v>0</v>
      </c>
      <c r="AO132" s="11">
        <v>1</v>
      </c>
      <c r="AP132" s="11">
        <v>0</v>
      </c>
      <c r="AQ132" s="11">
        <v>0</v>
      </c>
      <c r="AR132" s="11">
        <v>0</v>
      </c>
      <c r="AS132" s="11">
        <v>1</v>
      </c>
      <c r="AT132" s="11">
        <v>1</v>
      </c>
      <c r="AU132" s="11">
        <v>0</v>
      </c>
      <c r="AV132" s="11">
        <v>1</v>
      </c>
      <c r="AW132" s="11">
        <v>0</v>
      </c>
      <c r="AX132" s="11">
        <v>0</v>
      </c>
      <c r="AY132" s="11">
        <v>1</v>
      </c>
      <c r="AZ132" s="11">
        <v>0</v>
      </c>
      <c r="BA132" s="11">
        <v>1</v>
      </c>
      <c r="BB132" s="11">
        <v>0</v>
      </c>
      <c r="BC132" s="11">
        <v>0</v>
      </c>
      <c r="BD132" s="11">
        <v>0</v>
      </c>
      <c r="BE132" s="11">
        <v>0</v>
      </c>
      <c r="BF132" s="11">
        <v>0</v>
      </c>
      <c r="BG132" s="11">
        <v>0</v>
      </c>
      <c r="BH132" s="11">
        <v>0</v>
      </c>
      <c r="BI132" s="11">
        <v>0</v>
      </c>
      <c r="BJ132" s="11">
        <v>1</v>
      </c>
      <c r="BK132" s="11">
        <v>0</v>
      </c>
      <c r="BL132" s="11">
        <v>0</v>
      </c>
      <c r="BM132" s="11">
        <v>0</v>
      </c>
      <c r="BN132" s="11">
        <v>0</v>
      </c>
      <c r="BO132" s="11">
        <v>0</v>
      </c>
      <c r="BP132" s="11">
        <v>0</v>
      </c>
      <c r="BQ132" s="11">
        <v>0</v>
      </c>
      <c r="BR132" s="11">
        <v>0</v>
      </c>
      <c r="BS132" s="11">
        <v>0</v>
      </c>
      <c r="BT132" s="11">
        <v>0</v>
      </c>
      <c r="BU132" s="11">
        <v>1</v>
      </c>
      <c r="BV132" s="11">
        <v>1</v>
      </c>
      <c r="BW132" s="11">
        <v>1</v>
      </c>
      <c r="BX132" s="11">
        <v>0</v>
      </c>
      <c r="BY132" s="11">
        <v>0</v>
      </c>
      <c r="BZ132" s="11">
        <v>0</v>
      </c>
      <c r="CA132" s="11">
        <v>0</v>
      </c>
      <c r="CB132" s="11">
        <v>0</v>
      </c>
      <c r="CC132" s="11">
        <v>0</v>
      </c>
      <c r="CD132" s="11">
        <v>0</v>
      </c>
      <c r="CE132" s="11">
        <v>0</v>
      </c>
      <c r="CF132" s="11">
        <v>0</v>
      </c>
      <c r="CG132" s="11">
        <v>0</v>
      </c>
      <c r="CH132" s="11">
        <f ca="1">E132</f>
        <v>5</v>
      </c>
    </row>
    <row r="133" spans="4:86" x14ac:dyDescent="0.3">
      <c r="D133" s="11">
        <v>3</v>
      </c>
      <c r="E133" s="11">
        <f t="shared" ca="1" si="16"/>
        <v>5</v>
      </c>
      <c r="F133" s="10">
        <f t="array" aca="1" ref="F133" ca="1">IF(SUM(OFFSET(Factors,VALUE(RIGHT(F$34,2)),1,1,68))=0,"None",SQRT(SUM((OFFSET(Factors,VALUE(RIGHT(F$34,2)),1,1,68)-$R133:$CG133)^2)))</f>
        <v>3.5323406624440343</v>
      </c>
      <c r="G133" s="10">
        <f t="array" aca="1" ref="G133" ca="1">IF(SUM(OFFSET(Factors,VALUE(RIGHT(G$34,2)),1,1,68))=0,"None",SQRT(SUM((OFFSET(Factors,VALUE(RIGHT(G$34,2)),1,1,68)-$R133:$CG133)^2)))</f>
        <v>3.263569759322527</v>
      </c>
      <c r="H133" s="10">
        <f t="array" aca="1" ref="H133" ca="1">IF(SUM(OFFSET(Factors,VALUE(RIGHT(H$34,2)),1,1,68))=0,"None",SQRT(SUM((OFFSET(Factors,VALUE(RIGHT(H$34,2)),1,1,68)-$R133:$CG133)^2)))</f>
        <v>3.5877531016416242</v>
      </c>
      <c r="I133" s="10">
        <f t="array" aca="1" ref="I133" ca="1">IF(SUM(OFFSET(Factors,VALUE(RIGHT(I$34,2)),1,1,68))=0,"None",SQRT(SUM((OFFSET(Factors,VALUE(RIGHT(I$34,2)),1,1,68)-$R133:$CG133)^2)))</f>
        <v>3.0562900861844078</v>
      </c>
      <c r="J133" s="10">
        <f t="array" aca="1" ref="J133" ca="1">IF(SUM(OFFSET(Factors,VALUE(RIGHT(J$34,2)),1,1,68))=0,"None",SQRT(SUM((OFFSET(Factors,VALUE(RIGHT(J$34,2)),1,1,68)-$R133:$CG133)^2)))</f>
        <v>2.7654113618049667</v>
      </c>
      <c r="K133" s="10" t="str">
        <f t="array" aca="1" ref="K133" ca="1">IF(SUM(OFFSET(Factors,VALUE(RIGHT(K$34,2)),1,1,68))=0,"None",SQRT(SUM((OFFSET(Factors,VALUE(RIGHT(K$34,2)),1,1,68)-$R133:$CG133)^2)))</f>
        <v>None</v>
      </c>
      <c r="L133" s="10" t="str">
        <f t="array" aca="1" ref="L133" ca="1">IF(SUM(OFFSET(Factors,VALUE(RIGHT(L$34,2)),1,1,68))=0,"None",SQRT(SUM((OFFSET(Factors,VALUE(RIGHT(L$34,2)),1,1,68)-$R133:$CG133)^2)))</f>
        <v>None</v>
      </c>
      <c r="M133" s="10" t="str">
        <f t="array" aca="1" ref="M133" ca="1">IF(SUM(OFFSET(Factors,VALUE(RIGHT(M$34,2)),1,1,68))=0,"None",SQRT(SUM((OFFSET(Factors,VALUE(RIGHT(M$34,2)),1,1,68)-$R133:$CG133)^2)))</f>
        <v>None</v>
      </c>
      <c r="N133" s="10" t="str">
        <f t="array" aca="1" ref="N133" ca="1">IF(SUM(OFFSET(Factors,VALUE(RIGHT(N$34,2)),1,1,68))=0,"None",SQRT(SUM((OFFSET(Factors,VALUE(RIGHT(N$34,2)),1,1,68)-$R133:$CG133)^2)))</f>
        <v>None</v>
      </c>
      <c r="O133" s="10" t="str">
        <f t="array" aca="1" ref="O133" ca="1">IF(SUM(OFFSET(Factors,VALUE(RIGHT(O$34,2)),1,1,68))=0,"None",SQRT(SUM((OFFSET(Factors,VALUE(RIGHT(O$34,2)),1,1,68)-$R133:$CG133)^2)))</f>
        <v>None</v>
      </c>
      <c r="Q133" s="10" t="s">
        <v>57</v>
      </c>
      <c r="R133" s="11">
        <v>0</v>
      </c>
      <c r="S133" s="11">
        <v>0</v>
      </c>
      <c r="T133" s="11">
        <v>0</v>
      </c>
      <c r="U133" s="11">
        <v>0</v>
      </c>
      <c r="V133" s="11">
        <v>0</v>
      </c>
      <c r="W133" s="11">
        <v>0</v>
      </c>
      <c r="X133" s="11">
        <v>0</v>
      </c>
      <c r="Y133" s="11">
        <v>0</v>
      </c>
      <c r="Z133" s="11">
        <v>0</v>
      </c>
      <c r="AA133" s="11">
        <v>0</v>
      </c>
      <c r="AB133" s="11">
        <v>1</v>
      </c>
      <c r="AC133" s="11">
        <v>0</v>
      </c>
      <c r="AD133" s="11">
        <v>0</v>
      </c>
      <c r="AE133" s="11">
        <v>0</v>
      </c>
      <c r="AF133" s="11">
        <v>1</v>
      </c>
      <c r="AG133" s="11">
        <v>0</v>
      </c>
      <c r="AH133" s="11">
        <v>1</v>
      </c>
      <c r="AI133" s="11">
        <v>0</v>
      </c>
      <c r="AJ133" s="11">
        <v>0</v>
      </c>
      <c r="AK133" s="11">
        <v>0</v>
      </c>
      <c r="AL133" s="11">
        <v>1</v>
      </c>
      <c r="AM133" s="11">
        <v>0</v>
      </c>
      <c r="AN133" s="11">
        <v>0</v>
      </c>
      <c r="AO133" s="11">
        <v>1</v>
      </c>
      <c r="AP133" s="11">
        <v>0</v>
      </c>
      <c r="AQ133" s="11">
        <v>0</v>
      </c>
      <c r="AR133" s="11">
        <v>0</v>
      </c>
      <c r="AS133" s="11">
        <v>1</v>
      </c>
      <c r="AT133" s="11">
        <v>1</v>
      </c>
      <c r="AU133" s="11">
        <v>0</v>
      </c>
      <c r="AV133" s="11">
        <v>1</v>
      </c>
      <c r="AW133" s="11">
        <v>0</v>
      </c>
      <c r="AX133" s="11">
        <v>1</v>
      </c>
      <c r="AY133" s="11">
        <v>0</v>
      </c>
      <c r="AZ133" s="11">
        <v>0</v>
      </c>
      <c r="BA133" s="11">
        <v>1</v>
      </c>
      <c r="BB133" s="11">
        <v>0</v>
      </c>
      <c r="BC133" s="11">
        <v>1</v>
      </c>
      <c r="BD133" s="11">
        <v>0</v>
      </c>
      <c r="BE133" s="11">
        <v>0</v>
      </c>
      <c r="BF133" s="11">
        <v>0</v>
      </c>
      <c r="BG133" s="11">
        <v>1</v>
      </c>
      <c r="BH133" s="11">
        <v>0</v>
      </c>
      <c r="BI133" s="11">
        <v>0</v>
      </c>
      <c r="BJ133" s="11">
        <v>1</v>
      </c>
      <c r="BK133" s="11">
        <v>0</v>
      </c>
      <c r="BL133" s="11">
        <v>0</v>
      </c>
      <c r="BM133" s="11">
        <v>0</v>
      </c>
      <c r="BN133" s="11">
        <v>1</v>
      </c>
      <c r="BO133" s="11">
        <v>0</v>
      </c>
      <c r="BP133" s="11">
        <v>0</v>
      </c>
      <c r="BQ133" s="11">
        <v>1</v>
      </c>
      <c r="BR133" s="11">
        <v>0</v>
      </c>
      <c r="BS133" s="11">
        <v>0</v>
      </c>
      <c r="BT133" s="11">
        <v>0</v>
      </c>
      <c r="BU133" s="11">
        <v>0</v>
      </c>
      <c r="BV133" s="11">
        <v>0</v>
      </c>
      <c r="BW133" s="11">
        <v>0</v>
      </c>
      <c r="BX133" s="11">
        <v>0</v>
      </c>
      <c r="BY133" s="11">
        <v>0</v>
      </c>
      <c r="BZ133" s="11">
        <v>0</v>
      </c>
      <c r="CA133" s="11">
        <v>0</v>
      </c>
      <c r="CB133" s="11">
        <v>0</v>
      </c>
      <c r="CC133" s="11">
        <v>0</v>
      </c>
      <c r="CD133" s="11">
        <v>0</v>
      </c>
      <c r="CE133" s="11">
        <v>1</v>
      </c>
      <c r="CF133" s="11">
        <v>0</v>
      </c>
      <c r="CG133" s="11">
        <v>0</v>
      </c>
      <c r="CH133" s="11">
        <f ca="1">E133</f>
        <v>5</v>
      </c>
    </row>
    <row r="134" spans="4:86" x14ac:dyDescent="0.3">
      <c r="D134" s="11">
        <v>5</v>
      </c>
      <c r="E134" s="11">
        <f t="shared" ca="1" si="16"/>
        <v>5</v>
      </c>
      <c r="F134" s="10">
        <f t="array" aca="1" ref="F134" ca="1">IF(SUM(OFFSET(Factors,VALUE(RIGHT(F$34,2)),1,1,68))=0,"None",SQRT(SUM((OFFSET(Factors,VALUE(RIGHT(F$34,2)),1,1,68)-$R134:$CG134)^2)))</f>
        <v>2.9400845603863544</v>
      </c>
      <c r="G134" s="10">
        <f t="array" aca="1" ref="G134" ca="1">IF(SUM(OFFSET(Factors,VALUE(RIGHT(G$34,2)),1,1,68))=0,"None",SQRT(SUM((OFFSET(Factors,VALUE(RIGHT(G$34,2)),1,1,68)-$R134:$CG134)^2)))</f>
        <v>3.2987356372910108</v>
      </c>
      <c r="H134" s="10">
        <f t="array" aca="1" ref="H134" ca="1">IF(SUM(OFFSET(Factors,VALUE(RIGHT(H$34,2)),1,1,68))=0,"None",SQRT(SUM((OFFSET(Factors,VALUE(RIGHT(H$34,2)),1,1,68)-$R134:$CG134)^2)))</f>
        <v>3.5877531016416246</v>
      </c>
      <c r="I134" s="10">
        <f t="array" aca="1" ref="I134" ca="1">IF(SUM(OFFSET(Factors,VALUE(RIGHT(I$34,2)),1,1,68))=0,"None",SQRT(SUM((OFFSET(Factors,VALUE(RIGHT(I$34,2)),1,1,68)-$R134:$CG134)^2)))</f>
        <v>2.9503466668419587</v>
      </c>
      <c r="J134" s="10">
        <f t="array" aca="1" ref="J134" ca="1">IF(SUM(OFFSET(Factors,VALUE(RIGHT(J$34,2)),1,1,68))=0,"None",SQRT(SUM((OFFSET(Factors,VALUE(RIGHT(J$34,2)),1,1,68)-$R134:$CG134)^2)))</f>
        <v>2.6167728216259047</v>
      </c>
      <c r="K134" s="10" t="str">
        <f t="array" aca="1" ref="K134" ca="1">IF(SUM(OFFSET(Factors,VALUE(RIGHT(K$34,2)),1,1,68))=0,"None",SQRT(SUM((OFFSET(Factors,VALUE(RIGHT(K$34,2)),1,1,68)-$R134:$CG134)^2)))</f>
        <v>None</v>
      </c>
      <c r="L134" s="10" t="str">
        <f t="array" aca="1" ref="L134" ca="1">IF(SUM(OFFSET(Factors,VALUE(RIGHT(L$34,2)),1,1,68))=0,"None",SQRT(SUM((OFFSET(Factors,VALUE(RIGHT(L$34,2)),1,1,68)-$R134:$CG134)^2)))</f>
        <v>None</v>
      </c>
      <c r="M134" s="10" t="str">
        <f t="array" aca="1" ref="M134" ca="1">IF(SUM(OFFSET(Factors,VALUE(RIGHT(M$34,2)),1,1,68))=0,"None",SQRT(SUM((OFFSET(Factors,VALUE(RIGHT(M$34,2)),1,1,68)-$R134:$CG134)^2)))</f>
        <v>None</v>
      </c>
      <c r="N134" s="10" t="str">
        <f t="array" aca="1" ref="N134" ca="1">IF(SUM(OFFSET(Factors,VALUE(RIGHT(N$34,2)),1,1,68))=0,"None",SQRT(SUM((OFFSET(Factors,VALUE(RIGHT(N$34,2)),1,1,68)-$R134:$CG134)^2)))</f>
        <v>None</v>
      </c>
      <c r="O134" s="10" t="str">
        <f t="array" aca="1" ref="O134" ca="1">IF(SUM(OFFSET(Factors,VALUE(RIGHT(O$34,2)),1,1,68))=0,"None",SQRT(SUM((OFFSET(Factors,VALUE(RIGHT(O$34,2)),1,1,68)-$R134:$CG134)^2)))</f>
        <v>None</v>
      </c>
      <c r="Q134" s="10" t="s">
        <v>46</v>
      </c>
      <c r="R134" s="11">
        <v>0</v>
      </c>
      <c r="S134" s="11">
        <v>0</v>
      </c>
      <c r="T134" s="11">
        <v>0</v>
      </c>
      <c r="U134" s="11">
        <v>0</v>
      </c>
      <c r="V134" s="11">
        <v>0</v>
      </c>
      <c r="W134" s="11">
        <v>0</v>
      </c>
      <c r="X134" s="11">
        <v>0</v>
      </c>
      <c r="Y134" s="11">
        <v>1</v>
      </c>
      <c r="Z134" s="11">
        <v>0</v>
      </c>
      <c r="AA134" s="11">
        <v>0</v>
      </c>
      <c r="AB134" s="11">
        <v>0</v>
      </c>
      <c r="AC134" s="11">
        <v>0</v>
      </c>
      <c r="AD134" s="11">
        <v>0</v>
      </c>
      <c r="AE134" s="11">
        <v>0</v>
      </c>
      <c r="AF134" s="11">
        <v>1</v>
      </c>
      <c r="AG134" s="11">
        <v>0</v>
      </c>
      <c r="AH134" s="11">
        <v>0</v>
      </c>
      <c r="AI134" s="11">
        <v>0</v>
      </c>
      <c r="AJ134" s="11">
        <v>0</v>
      </c>
      <c r="AK134" s="11">
        <v>0</v>
      </c>
      <c r="AL134" s="11">
        <v>1</v>
      </c>
      <c r="AM134" s="11">
        <v>0</v>
      </c>
      <c r="AN134" s="11">
        <v>0</v>
      </c>
      <c r="AO134" s="11">
        <v>0</v>
      </c>
      <c r="AP134" s="11">
        <v>0</v>
      </c>
      <c r="AQ134" s="11">
        <v>1</v>
      </c>
      <c r="AR134" s="11">
        <v>0</v>
      </c>
      <c r="AS134" s="11">
        <v>1</v>
      </c>
      <c r="AT134" s="11">
        <v>1</v>
      </c>
      <c r="AU134" s="11">
        <v>0</v>
      </c>
      <c r="AV134" s="11">
        <v>1</v>
      </c>
      <c r="AW134" s="11">
        <v>0</v>
      </c>
      <c r="AX134" s="11">
        <v>0</v>
      </c>
      <c r="AY134" s="11">
        <v>0</v>
      </c>
      <c r="AZ134" s="11">
        <v>1</v>
      </c>
      <c r="BA134" s="11">
        <v>1</v>
      </c>
      <c r="BB134" s="11">
        <v>0</v>
      </c>
      <c r="BC134" s="11">
        <v>0</v>
      </c>
      <c r="BD134" s="11">
        <v>0</v>
      </c>
      <c r="BE134" s="11">
        <v>1</v>
      </c>
      <c r="BF134" s="11">
        <v>0</v>
      </c>
      <c r="BG134" s="11">
        <v>1</v>
      </c>
      <c r="BH134" s="11">
        <v>0</v>
      </c>
      <c r="BI134" s="11">
        <v>0</v>
      </c>
      <c r="BJ134" s="11">
        <v>1</v>
      </c>
      <c r="BK134" s="11">
        <v>0</v>
      </c>
      <c r="BL134" s="11">
        <v>0</v>
      </c>
      <c r="BM134" s="11">
        <v>0</v>
      </c>
      <c r="BN134" s="11">
        <v>0</v>
      </c>
      <c r="BO134" s="11">
        <v>0</v>
      </c>
      <c r="BP134" s="11">
        <v>1</v>
      </c>
      <c r="BQ134" s="11">
        <v>0</v>
      </c>
      <c r="BR134" s="11">
        <v>0</v>
      </c>
      <c r="BS134" s="11">
        <v>0</v>
      </c>
      <c r="BT134" s="11">
        <v>1</v>
      </c>
      <c r="BU134" s="11">
        <v>0</v>
      </c>
      <c r="BV134" s="11">
        <v>0</v>
      </c>
      <c r="BW134" s="11">
        <v>0</v>
      </c>
      <c r="BX134" s="11">
        <v>0</v>
      </c>
      <c r="BY134" s="11">
        <v>0</v>
      </c>
      <c r="BZ134" s="11">
        <v>0</v>
      </c>
      <c r="CA134" s="11">
        <v>0</v>
      </c>
      <c r="CB134" s="11">
        <v>0</v>
      </c>
      <c r="CC134" s="11">
        <v>0</v>
      </c>
      <c r="CD134" s="11">
        <v>0</v>
      </c>
      <c r="CE134" s="11">
        <v>0</v>
      </c>
      <c r="CF134" s="11">
        <v>0</v>
      </c>
      <c r="CG134" s="11">
        <v>0</v>
      </c>
      <c r="CH134" s="11">
        <f ca="1">E134</f>
        <v>5</v>
      </c>
    </row>
    <row r="135" spans="4:86" x14ac:dyDescent="0.3">
      <c r="D135" s="11">
        <v>3</v>
      </c>
      <c r="E135" s="11">
        <f t="shared" ca="1" si="16"/>
        <v>5</v>
      </c>
      <c r="F135" s="10">
        <f t="array" aca="1" ref="F135" ca="1">IF(SUM(OFFSET(Factors,VALUE(RIGHT(F$34,2)),1,1,68))=0,"None",SQRT(SUM((OFFSET(Factors,VALUE(RIGHT(F$34,2)),1,1,68)-$R135:$CG135)^2)))</f>
        <v>2.6728444066616039</v>
      </c>
      <c r="G135" s="10">
        <f t="array" aca="1" ref="G135" ca="1">IF(SUM(OFFSET(Factors,VALUE(RIGHT(G$34,2)),1,1,68))=0,"None",SQRT(SUM((OFFSET(Factors,VALUE(RIGHT(G$34,2)),1,1,68)-$R135:$CG135)^2)))</f>
        <v>2.9930886858990342</v>
      </c>
      <c r="H135" s="10">
        <f t="array" aca="1" ref="H135" ca="1">IF(SUM(OFFSET(Factors,VALUE(RIGHT(H$34,2)),1,1,68))=0,"None",SQRT(SUM((OFFSET(Factors,VALUE(RIGHT(H$34,2)),1,1,68)-$R135:$CG135)^2)))</f>
        <v>2.8473261906543406</v>
      </c>
      <c r="I135" s="10">
        <f t="array" aca="1" ref="I135" ca="1">IF(SUM(OFFSET(Factors,VALUE(RIGHT(I$34,2)),1,1,68))=0,"None",SQRT(SUM((OFFSET(Factors,VALUE(RIGHT(I$34,2)),1,1,68)-$R135:$CG135)^2)))</f>
        <v>2.6414527683213884</v>
      </c>
      <c r="J135" s="10">
        <f t="array" aca="1" ref="J135" ca="1">IF(SUM(OFFSET(Factors,VALUE(RIGHT(J$34,2)),1,1,68))=0,"None",SQRT(SUM((OFFSET(Factors,VALUE(RIGHT(J$34,2)),1,1,68)-$R135:$CG135)^2)))</f>
        <v>2.3124662159694354</v>
      </c>
      <c r="K135" s="10" t="str">
        <f t="array" aca="1" ref="K135" ca="1">IF(SUM(OFFSET(Factors,VALUE(RIGHT(K$34,2)),1,1,68))=0,"None",SQRT(SUM((OFFSET(Factors,VALUE(RIGHT(K$34,2)),1,1,68)-$R135:$CG135)^2)))</f>
        <v>None</v>
      </c>
      <c r="L135" s="10" t="str">
        <f t="array" aca="1" ref="L135" ca="1">IF(SUM(OFFSET(Factors,VALUE(RIGHT(L$34,2)),1,1,68))=0,"None",SQRT(SUM((OFFSET(Factors,VALUE(RIGHT(L$34,2)),1,1,68)-$R135:$CG135)^2)))</f>
        <v>None</v>
      </c>
      <c r="M135" s="10" t="str">
        <f t="array" aca="1" ref="M135" ca="1">IF(SUM(OFFSET(Factors,VALUE(RIGHT(M$34,2)),1,1,68))=0,"None",SQRT(SUM((OFFSET(Factors,VALUE(RIGHT(M$34,2)),1,1,68)-$R135:$CG135)^2)))</f>
        <v>None</v>
      </c>
      <c r="N135" s="10" t="str">
        <f t="array" aca="1" ref="N135" ca="1">IF(SUM(OFFSET(Factors,VALUE(RIGHT(N$34,2)),1,1,68))=0,"None",SQRT(SUM((OFFSET(Factors,VALUE(RIGHT(N$34,2)),1,1,68)-$R135:$CG135)^2)))</f>
        <v>None</v>
      </c>
      <c r="O135" s="10" t="str">
        <f t="array" aca="1" ref="O135" ca="1">IF(SUM(OFFSET(Factors,VALUE(RIGHT(O$34,2)),1,1,68))=0,"None",SQRT(SUM((OFFSET(Factors,VALUE(RIGHT(O$34,2)),1,1,68)-$R135:$CG135)^2)))</f>
        <v>None</v>
      </c>
      <c r="Q135" s="10" t="s">
        <v>41</v>
      </c>
      <c r="R135" s="11">
        <v>0</v>
      </c>
      <c r="S135" s="11">
        <v>0</v>
      </c>
      <c r="T135" s="11">
        <v>0</v>
      </c>
      <c r="U135" s="11">
        <v>0</v>
      </c>
      <c r="V135" s="11">
        <v>0</v>
      </c>
      <c r="W135" s="11">
        <v>0</v>
      </c>
      <c r="X135" s="11">
        <v>0</v>
      </c>
      <c r="Y135" s="11">
        <v>0</v>
      </c>
      <c r="Z135" s="11">
        <v>0</v>
      </c>
      <c r="AA135" s="11">
        <v>0</v>
      </c>
      <c r="AB135" s="11">
        <v>1</v>
      </c>
      <c r="AC135" s="11">
        <v>0</v>
      </c>
      <c r="AD135" s="11">
        <v>0</v>
      </c>
      <c r="AE135" s="11">
        <v>0</v>
      </c>
      <c r="AF135" s="11">
        <v>0</v>
      </c>
      <c r="AG135" s="11">
        <v>1</v>
      </c>
      <c r="AH135" s="11">
        <v>1</v>
      </c>
      <c r="AI135" s="11">
        <v>0</v>
      </c>
      <c r="AJ135" s="11">
        <v>0</v>
      </c>
      <c r="AK135" s="11">
        <v>0</v>
      </c>
      <c r="AL135" s="11">
        <v>1</v>
      </c>
      <c r="AM135" s="11">
        <v>0</v>
      </c>
      <c r="AN135" s="11">
        <v>0</v>
      </c>
      <c r="AO135" s="11">
        <v>1</v>
      </c>
      <c r="AP135" s="11">
        <v>0</v>
      </c>
      <c r="AQ135" s="11">
        <v>0</v>
      </c>
      <c r="AR135" s="11">
        <v>0</v>
      </c>
      <c r="AS135" s="11">
        <v>1</v>
      </c>
      <c r="AT135" s="11">
        <v>0</v>
      </c>
      <c r="AU135" s="11">
        <v>0</v>
      </c>
      <c r="AV135" s="11">
        <v>1</v>
      </c>
      <c r="AW135" s="11">
        <v>0</v>
      </c>
      <c r="AX135" s="11">
        <v>0</v>
      </c>
      <c r="AY135" s="11">
        <v>0</v>
      </c>
      <c r="AZ135" s="11">
        <v>0</v>
      </c>
      <c r="BA135" s="11">
        <v>1</v>
      </c>
      <c r="BB135" s="11">
        <v>0</v>
      </c>
      <c r="BC135" s="11">
        <v>0</v>
      </c>
      <c r="BD135" s="11">
        <v>0</v>
      </c>
      <c r="BE135" s="11">
        <v>0</v>
      </c>
      <c r="BF135" s="11">
        <v>0</v>
      </c>
      <c r="BG135" s="11">
        <v>0</v>
      </c>
      <c r="BH135" s="11">
        <v>0</v>
      </c>
      <c r="BI135" s="11">
        <v>1</v>
      </c>
      <c r="BJ135" s="11">
        <v>1</v>
      </c>
      <c r="BK135" s="11">
        <v>0</v>
      </c>
      <c r="BL135" s="11">
        <v>0</v>
      </c>
      <c r="BM135" s="11">
        <v>0</v>
      </c>
      <c r="BN135" s="11">
        <v>0</v>
      </c>
      <c r="BO135" s="11">
        <v>0</v>
      </c>
      <c r="BP135" s="11">
        <v>0</v>
      </c>
      <c r="BQ135" s="11">
        <v>0</v>
      </c>
      <c r="BR135" s="11">
        <v>0</v>
      </c>
      <c r="BS135" s="11">
        <v>0</v>
      </c>
      <c r="BT135" s="11">
        <v>0</v>
      </c>
      <c r="BU135" s="11">
        <v>0</v>
      </c>
      <c r="BV135" s="11">
        <v>1</v>
      </c>
      <c r="BW135" s="11">
        <v>0</v>
      </c>
      <c r="BX135" s="11">
        <v>0</v>
      </c>
      <c r="BY135" s="11">
        <v>0</v>
      </c>
      <c r="BZ135" s="11">
        <v>0</v>
      </c>
      <c r="CA135" s="11">
        <v>0</v>
      </c>
      <c r="CB135" s="11">
        <v>0</v>
      </c>
      <c r="CC135" s="11">
        <v>0</v>
      </c>
      <c r="CD135" s="11">
        <v>0</v>
      </c>
      <c r="CE135" s="11">
        <v>0</v>
      </c>
      <c r="CF135" s="11">
        <v>0</v>
      </c>
      <c r="CG135" s="11">
        <v>0</v>
      </c>
      <c r="CH135" s="11">
        <f ca="1">E135</f>
        <v>5</v>
      </c>
    </row>
    <row r="136" spans="4:86" x14ac:dyDescent="0.3">
      <c r="D136" s="11">
        <v>3</v>
      </c>
      <c r="E136" s="11">
        <f t="shared" ca="1" si="16"/>
        <v>5</v>
      </c>
      <c r="F136" s="10">
        <f t="array" aca="1" ref="F136" ca="1">IF(SUM(OFFSET(Factors,VALUE(RIGHT(F$34,2)),1,1,68))=0,"None",SQRT(SUM((OFFSET(Factors,VALUE(RIGHT(F$34,2)),1,1,68)-$R136:$CG136)^2)))</f>
        <v>3.1454883916845451</v>
      </c>
      <c r="G136" s="10">
        <f t="array" aca="1" ref="G136" ca="1">IF(SUM(OFFSET(Factors,VALUE(RIGHT(G$34,2)),1,1,68))=0,"None",SQRT(SUM((OFFSET(Factors,VALUE(RIGHT(G$34,2)),1,1,68)-$R136:$CG136)^2)))</f>
        <v>3.4469779234473972</v>
      </c>
      <c r="H136" s="10">
        <f t="array" aca="1" ref="H136" ca="1">IF(SUM(OFFSET(Factors,VALUE(RIGHT(H$34,2)),1,1,68))=0,"None",SQRT(SUM((OFFSET(Factors,VALUE(RIGHT(H$34,2)),1,1,68)-$R136:$CG136)^2)))</f>
        <v>3.0661676540993286</v>
      </c>
      <c r="I136" s="10">
        <f t="array" aca="1" ref="I136" ca="1">IF(SUM(OFFSET(Factors,VALUE(RIGHT(I$34,2)),1,1,68))=0,"None",SQRT(SUM((OFFSET(Factors,VALUE(RIGHT(I$34,2)),1,1,68)-$R136:$CG136)^2)))</f>
        <v>2.9962097268503638</v>
      </c>
      <c r="J136" s="10">
        <f t="array" aca="1" ref="J136" ca="1">IF(SUM(OFFSET(Factors,VALUE(RIGHT(J$34,2)),1,1,68))=0,"None",SQRT(SUM((OFFSET(Factors,VALUE(RIGHT(J$34,2)),1,1,68)-$R136:$CG136)^2)))</f>
        <v>2.7654113618049663</v>
      </c>
      <c r="K136" s="10" t="str">
        <f t="array" aca="1" ref="K136" ca="1">IF(SUM(OFFSET(Factors,VALUE(RIGHT(K$34,2)),1,1,68))=0,"None",SQRT(SUM((OFFSET(Factors,VALUE(RIGHT(K$34,2)),1,1,68)-$R136:$CG136)^2)))</f>
        <v>None</v>
      </c>
      <c r="L136" s="10" t="str">
        <f t="array" aca="1" ref="L136" ca="1">IF(SUM(OFFSET(Factors,VALUE(RIGHT(L$34,2)),1,1,68))=0,"None",SQRT(SUM((OFFSET(Factors,VALUE(RIGHT(L$34,2)),1,1,68)-$R136:$CG136)^2)))</f>
        <v>None</v>
      </c>
      <c r="M136" s="10" t="str">
        <f t="array" aca="1" ref="M136" ca="1">IF(SUM(OFFSET(Factors,VALUE(RIGHT(M$34,2)),1,1,68))=0,"None",SQRT(SUM((OFFSET(Factors,VALUE(RIGHT(M$34,2)),1,1,68)-$R136:$CG136)^2)))</f>
        <v>None</v>
      </c>
      <c r="N136" s="10" t="str">
        <f t="array" aca="1" ref="N136" ca="1">IF(SUM(OFFSET(Factors,VALUE(RIGHT(N$34,2)),1,1,68))=0,"None",SQRT(SUM((OFFSET(Factors,VALUE(RIGHT(N$34,2)),1,1,68)-$R136:$CG136)^2)))</f>
        <v>None</v>
      </c>
      <c r="O136" s="10" t="str">
        <f t="array" aca="1" ref="O136" ca="1">IF(SUM(OFFSET(Factors,VALUE(RIGHT(O$34,2)),1,1,68))=0,"None",SQRT(SUM((OFFSET(Factors,VALUE(RIGHT(O$34,2)),1,1,68)-$R136:$CG136)^2)))</f>
        <v>None</v>
      </c>
      <c r="Q136" s="10" t="s">
        <v>29</v>
      </c>
      <c r="R136" s="11">
        <v>0</v>
      </c>
      <c r="S136" s="11">
        <v>0</v>
      </c>
      <c r="T136" s="11">
        <v>0</v>
      </c>
      <c r="U136" s="11">
        <v>0</v>
      </c>
      <c r="V136" s="11">
        <v>0</v>
      </c>
      <c r="W136" s="11">
        <v>0</v>
      </c>
      <c r="X136" s="11">
        <v>0</v>
      </c>
      <c r="Y136" s="11">
        <v>1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0</v>
      </c>
      <c r="AG136" s="11">
        <v>0</v>
      </c>
      <c r="AH136" s="11">
        <v>1</v>
      </c>
      <c r="AI136" s="11">
        <v>1</v>
      </c>
      <c r="AJ136" s="11">
        <v>0</v>
      </c>
      <c r="AK136" s="11">
        <v>0</v>
      </c>
      <c r="AL136" s="11">
        <v>0</v>
      </c>
      <c r="AM136" s="11">
        <v>0</v>
      </c>
      <c r="AN136" s="11">
        <v>0</v>
      </c>
      <c r="AO136" s="11">
        <v>1</v>
      </c>
      <c r="AP136" s="11">
        <v>0</v>
      </c>
      <c r="AQ136" s="11">
        <v>1</v>
      </c>
      <c r="AR136" s="11">
        <v>0</v>
      </c>
      <c r="AS136" s="11">
        <v>1</v>
      </c>
      <c r="AT136" s="11">
        <v>0</v>
      </c>
      <c r="AU136" s="11">
        <v>1</v>
      </c>
      <c r="AV136" s="11">
        <v>0</v>
      </c>
      <c r="AW136" s="11">
        <v>0</v>
      </c>
      <c r="AX136" s="11">
        <v>0</v>
      </c>
      <c r="AY136" s="11">
        <v>0</v>
      </c>
      <c r="AZ136" s="11">
        <v>0</v>
      </c>
      <c r="BA136" s="11">
        <v>1</v>
      </c>
      <c r="BB136" s="11">
        <v>0</v>
      </c>
      <c r="BC136" s="11">
        <v>0</v>
      </c>
      <c r="BD136" s="11">
        <v>1</v>
      </c>
      <c r="BE136" s="11">
        <v>0</v>
      </c>
      <c r="BF136" s="11">
        <v>0</v>
      </c>
      <c r="BG136" s="11">
        <v>0</v>
      </c>
      <c r="BH136" s="11">
        <v>0</v>
      </c>
      <c r="BI136" s="11">
        <v>1</v>
      </c>
      <c r="BJ136" s="11">
        <v>1</v>
      </c>
      <c r="BK136" s="11">
        <v>0</v>
      </c>
      <c r="BL136" s="11">
        <v>0</v>
      </c>
      <c r="BM136" s="11">
        <v>0</v>
      </c>
      <c r="BN136" s="11">
        <v>0</v>
      </c>
      <c r="BO136" s="11">
        <v>0</v>
      </c>
      <c r="BP136" s="11">
        <v>1</v>
      </c>
      <c r="BQ136" s="11">
        <v>0</v>
      </c>
      <c r="BR136" s="11">
        <v>0</v>
      </c>
      <c r="BS136" s="11">
        <v>0</v>
      </c>
      <c r="BT136" s="11">
        <v>1</v>
      </c>
      <c r="BU136" s="11">
        <v>0</v>
      </c>
      <c r="BV136" s="11">
        <v>0</v>
      </c>
      <c r="BW136" s="11">
        <v>0</v>
      </c>
      <c r="BX136" s="11">
        <v>0</v>
      </c>
      <c r="BY136" s="11">
        <v>0</v>
      </c>
      <c r="BZ136" s="11">
        <v>0</v>
      </c>
      <c r="CA136" s="11">
        <v>0</v>
      </c>
      <c r="CB136" s="11">
        <v>0</v>
      </c>
      <c r="CC136" s="11">
        <v>0</v>
      </c>
      <c r="CD136" s="11">
        <v>0</v>
      </c>
      <c r="CE136" s="11">
        <v>0</v>
      </c>
      <c r="CF136" s="11">
        <v>0</v>
      </c>
      <c r="CG136" s="11">
        <v>0</v>
      </c>
      <c r="CH136" s="11">
        <f ca="1">E136</f>
        <v>5</v>
      </c>
    </row>
    <row r="137" spans="4:86" x14ac:dyDescent="0.3">
      <c r="D137" s="11">
        <v>2</v>
      </c>
      <c r="E137" s="11">
        <f t="shared" ca="1" si="16"/>
        <v>5</v>
      </c>
      <c r="F137" s="10">
        <f t="array" aca="1" ref="F137" ca="1">IF(SUM(OFFSET(Factors,VALUE(RIGHT(F$34,2)),1,1,68))=0,"None",SQRT(SUM((OFFSET(Factors,VALUE(RIGHT(F$34,2)),1,1,68)-$R137:$CG137)^2)))</f>
        <v>3.3257726754678965</v>
      </c>
      <c r="G137" s="10">
        <f t="array" aca="1" ref="G137" ca="1">IF(SUM(OFFSET(Factors,VALUE(RIGHT(G$34,2)),1,1,68))=0,"None",SQRT(SUM((OFFSET(Factors,VALUE(RIGHT(G$34,2)),1,1,68)-$R137:$CG137)^2)))</f>
        <v>3.2517632904381926</v>
      </c>
      <c r="H137" s="10">
        <f t="array" aca="1" ref="H137" ca="1">IF(SUM(OFFSET(Factors,VALUE(RIGHT(H$34,2)),1,1,68))=0,"None",SQRT(SUM((OFFSET(Factors,VALUE(RIGHT(H$34,2)),1,1,68)-$R137:$CG137)^2)))</f>
        <v>3.2703977938629736</v>
      </c>
      <c r="I137" s="10">
        <f t="array" aca="1" ref="I137" ca="1">IF(SUM(OFFSET(Factors,VALUE(RIGHT(I$34,2)),1,1,68))=0,"None",SQRT(SUM((OFFSET(Factors,VALUE(RIGHT(I$34,2)),1,1,68)-$R137:$CG137)^2)))</f>
        <v>3.1586821187439442</v>
      </c>
      <c r="J137" s="10">
        <f t="array" aca="1" ref="J137" ca="1">IF(SUM(OFFSET(Factors,VALUE(RIGHT(J$34,2)),1,1,68))=0,"None",SQRT(SUM((OFFSET(Factors,VALUE(RIGHT(J$34,2)),1,1,68)-$R137:$CG137)^2)))</f>
        <v>2.5975950415721076</v>
      </c>
      <c r="K137" s="10" t="str">
        <f t="array" aca="1" ref="K137" ca="1">IF(SUM(OFFSET(Factors,VALUE(RIGHT(K$34,2)),1,1,68))=0,"None",SQRT(SUM((OFFSET(Factors,VALUE(RIGHT(K$34,2)),1,1,68)-$R137:$CG137)^2)))</f>
        <v>None</v>
      </c>
      <c r="L137" s="10" t="str">
        <f t="array" aca="1" ref="L137" ca="1">IF(SUM(OFFSET(Factors,VALUE(RIGHT(L$34,2)),1,1,68))=0,"None",SQRT(SUM((OFFSET(Factors,VALUE(RIGHT(L$34,2)),1,1,68)-$R137:$CG137)^2)))</f>
        <v>None</v>
      </c>
      <c r="M137" s="10" t="str">
        <f t="array" aca="1" ref="M137" ca="1">IF(SUM(OFFSET(Factors,VALUE(RIGHT(M$34,2)),1,1,68))=0,"None",SQRT(SUM((OFFSET(Factors,VALUE(RIGHT(M$34,2)),1,1,68)-$R137:$CG137)^2)))</f>
        <v>None</v>
      </c>
      <c r="N137" s="10" t="str">
        <f t="array" aca="1" ref="N137" ca="1">IF(SUM(OFFSET(Factors,VALUE(RIGHT(N$34,2)),1,1,68))=0,"None",SQRT(SUM((OFFSET(Factors,VALUE(RIGHT(N$34,2)),1,1,68)-$R137:$CG137)^2)))</f>
        <v>None</v>
      </c>
      <c r="O137" s="10" t="str">
        <f t="array" aca="1" ref="O137" ca="1">IF(SUM(OFFSET(Factors,VALUE(RIGHT(O$34,2)),1,1,68))=0,"None",SQRT(SUM((OFFSET(Factors,VALUE(RIGHT(O$34,2)),1,1,68)-$R137:$CG137)^2)))</f>
        <v>None</v>
      </c>
      <c r="Q137" s="10" t="s">
        <v>26</v>
      </c>
      <c r="R137" s="11">
        <v>0</v>
      </c>
      <c r="S137" s="11">
        <v>0</v>
      </c>
      <c r="T137" s="11">
        <v>0</v>
      </c>
      <c r="U137" s="11">
        <v>0</v>
      </c>
      <c r="V137" s="11">
        <v>0</v>
      </c>
      <c r="W137" s="11">
        <v>0</v>
      </c>
      <c r="X137" s="11">
        <v>0</v>
      </c>
      <c r="Y137" s="11">
        <v>0</v>
      </c>
      <c r="Z137" s="11">
        <v>0</v>
      </c>
      <c r="AA137" s="11">
        <v>0</v>
      </c>
      <c r="AB137" s="11">
        <v>1</v>
      </c>
      <c r="AC137" s="11">
        <v>0</v>
      </c>
      <c r="AD137" s="11">
        <v>0</v>
      </c>
      <c r="AE137" s="11">
        <v>0</v>
      </c>
      <c r="AF137" s="11">
        <v>0</v>
      </c>
      <c r="AG137" s="11">
        <v>0</v>
      </c>
      <c r="AH137" s="11">
        <v>0</v>
      </c>
      <c r="AI137" s="11">
        <v>0</v>
      </c>
      <c r="AJ137" s="11">
        <v>0</v>
      </c>
      <c r="AK137" s="11">
        <v>0</v>
      </c>
      <c r="AL137" s="11">
        <v>1</v>
      </c>
      <c r="AM137" s="11">
        <v>0</v>
      </c>
      <c r="AN137" s="11">
        <v>0</v>
      </c>
      <c r="AO137" s="11">
        <v>1</v>
      </c>
      <c r="AP137" s="11">
        <v>0</v>
      </c>
      <c r="AQ137" s="11">
        <v>1</v>
      </c>
      <c r="AR137" s="11">
        <v>1</v>
      </c>
      <c r="AS137" s="11">
        <v>1</v>
      </c>
      <c r="AT137" s="11">
        <v>0</v>
      </c>
      <c r="AU137" s="11">
        <v>0</v>
      </c>
      <c r="AV137" s="11">
        <v>1</v>
      </c>
      <c r="AW137" s="11">
        <v>0</v>
      </c>
      <c r="AX137" s="11">
        <v>0</v>
      </c>
      <c r="AY137" s="11">
        <v>0</v>
      </c>
      <c r="AZ137" s="11">
        <v>0</v>
      </c>
      <c r="BA137" s="11">
        <v>1</v>
      </c>
      <c r="BB137" s="11">
        <v>1</v>
      </c>
      <c r="BC137" s="11">
        <v>0</v>
      </c>
      <c r="BD137" s="11">
        <v>0</v>
      </c>
      <c r="BE137" s="11">
        <v>0</v>
      </c>
      <c r="BF137" s="11">
        <v>0</v>
      </c>
      <c r="BG137" s="11">
        <v>0</v>
      </c>
      <c r="BH137" s="11">
        <v>0</v>
      </c>
      <c r="BI137" s="11">
        <v>0</v>
      </c>
      <c r="BJ137" s="11">
        <v>0</v>
      </c>
      <c r="BK137" s="11">
        <v>0</v>
      </c>
      <c r="BL137" s="11">
        <v>0</v>
      </c>
      <c r="BM137" s="11">
        <v>0</v>
      </c>
      <c r="BN137" s="11">
        <v>0</v>
      </c>
      <c r="BO137" s="11">
        <v>0</v>
      </c>
      <c r="BP137" s="11">
        <v>0</v>
      </c>
      <c r="BQ137" s="11">
        <v>0</v>
      </c>
      <c r="BR137" s="11">
        <v>1</v>
      </c>
      <c r="BS137" s="11">
        <v>0</v>
      </c>
      <c r="BT137" s="11">
        <v>0</v>
      </c>
      <c r="BU137" s="11">
        <v>0</v>
      </c>
      <c r="BV137" s="11">
        <v>0</v>
      </c>
      <c r="BW137" s="11">
        <v>0</v>
      </c>
      <c r="BX137" s="11">
        <v>0</v>
      </c>
      <c r="BY137" s="11">
        <v>0</v>
      </c>
      <c r="BZ137" s="11">
        <v>0</v>
      </c>
      <c r="CA137" s="11">
        <v>0</v>
      </c>
      <c r="CB137" s="11">
        <v>0</v>
      </c>
      <c r="CC137" s="11">
        <v>0</v>
      </c>
      <c r="CD137" s="11">
        <v>0</v>
      </c>
      <c r="CE137" s="11">
        <v>1</v>
      </c>
      <c r="CF137" s="11">
        <v>0</v>
      </c>
      <c r="CG137" s="11">
        <v>0</v>
      </c>
      <c r="CH137" s="11">
        <f ca="1">E137</f>
        <v>5</v>
      </c>
    </row>
    <row r="138" spans="4:86" x14ac:dyDescent="0.3">
      <c r="D138" s="11">
        <v>1</v>
      </c>
      <c r="E138" s="11">
        <f t="shared" ca="1" si="16"/>
        <v>5</v>
      </c>
      <c r="F138" s="10">
        <f t="array" aca="1" ref="F138" ca="1">IF(SUM(OFFSET(Factors,VALUE(RIGHT(F$34,2)),1,1,68))=0,"None",SQRT(SUM((OFFSET(Factors,VALUE(RIGHT(F$34,2)),1,1,68)-$R138:$CG138)^2)))</f>
        <v>3.2879726107266909</v>
      </c>
      <c r="G138" s="10">
        <f t="array" aca="1" ref="G138" ca="1">IF(SUM(OFFSET(Factors,VALUE(RIGHT(G$34,2)),1,1,68))=0,"None",SQRT(SUM((OFFSET(Factors,VALUE(RIGHT(G$34,2)),1,1,68)-$R138:$CG138)^2)))</f>
        <v>3.379366559459815</v>
      </c>
      <c r="H138" s="10">
        <f t="array" aca="1" ref="H138" ca="1">IF(SUM(OFFSET(Factors,VALUE(RIGHT(H$34,2)),1,1,68))=0,"None",SQRT(SUM((OFFSET(Factors,VALUE(RIGHT(H$34,2)),1,1,68)-$R138:$CG138)^2)))</f>
        <v>3.4370261548215395</v>
      </c>
      <c r="I138" s="10">
        <f t="array" aca="1" ref="I138" ca="1">IF(SUM(OFFSET(Factors,VALUE(RIGHT(I$34,2)),1,1,68))=0,"None",SQRT(SUM((OFFSET(Factors,VALUE(RIGHT(I$34,2)),1,1,68)-$R138:$CG138)^2)))</f>
        <v>3.2298325315437304</v>
      </c>
      <c r="J138" s="10">
        <f t="array" aca="1" ref="J138" ca="1">IF(SUM(OFFSET(Factors,VALUE(RIGHT(J$34,2)),1,1,68))=0,"None",SQRT(SUM((OFFSET(Factors,VALUE(RIGHT(J$34,2)),1,1,68)-$R138:$CG138)^2)))</f>
        <v>2.5975950415721076</v>
      </c>
      <c r="K138" s="10" t="str">
        <f t="array" aca="1" ref="K138" ca="1">IF(SUM(OFFSET(Factors,VALUE(RIGHT(K$34,2)),1,1,68))=0,"None",SQRT(SUM((OFFSET(Factors,VALUE(RIGHT(K$34,2)),1,1,68)-$R138:$CG138)^2)))</f>
        <v>None</v>
      </c>
      <c r="L138" s="10" t="str">
        <f t="array" aca="1" ref="L138" ca="1">IF(SUM(OFFSET(Factors,VALUE(RIGHT(L$34,2)),1,1,68))=0,"None",SQRT(SUM((OFFSET(Factors,VALUE(RIGHT(L$34,2)),1,1,68)-$R138:$CG138)^2)))</f>
        <v>None</v>
      </c>
      <c r="M138" s="10" t="str">
        <f t="array" aca="1" ref="M138" ca="1">IF(SUM(OFFSET(Factors,VALUE(RIGHT(M$34,2)),1,1,68))=0,"None",SQRT(SUM((OFFSET(Factors,VALUE(RIGHT(M$34,2)),1,1,68)-$R138:$CG138)^2)))</f>
        <v>None</v>
      </c>
      <c r="N138" s="10" t="str">
        <f t="array" aca="1" ref="N138" ca="1">IF(SUM(OFFSET(Factors,VALUE(RIGHT(N$34,2)),1,1,68))=0,"None",SQRT(SUM((OFFSET(Factors,VALUE(RIGHT(N$34,2)),1,1,68)-$R138:$CG138)^2)))</f>
        <v>None</v>
      </c>
      <c r="O138" s="10" t="str">
        <f t="array" aca="1" ref="O138" ca="1">IF(SUM(OFFSET(Factors,VALUE(RIGHT(O$34,2)),1,1,68))=0,"None",SQRT(SUM((OFFSET(Factors,VALUE(RIGHT(O$34,2)),1,1,68)-$R138:$CG138)^2)))</f>
        <v>None</v>
      </c>
      <c r="Q138" s="10" t="s">
        <v>24</v>
      </c>
      <c r="R138" s="11">
        <v>0</v>
      </c>
      <c r="S138" s="11">
        <v>0</v>
      </c>
      <c r="T138" s="11">
        <v>0</v>
      </c>
      <c r="U138" s="11">
        <v>0</v>
      </c>
      <c r="V138" s="11">
        <v>0</v>
      </c>
      <c r="W138" s="11">
        <v>0</v>
      </c>
      <c r="X138" s="11">
        <v>0</v>
      </c>
      <c r="Y138" s="11">
        <v>0</v>
      </c>
      <c r="Z138" s="11">
        <v>0</v>
      </c>
      <c r="AA138" s="11">
        <v>0</v>
      </c>
      <c r="AB138" s="11">
        <v>1</v>
      </c>
      <c r="AC138" s="11">
        <v>0</v>
      </c>
      <c r="AD138" s="11">
        <v>0</v>
      </c>
      <c r="AE138" s="11">
        <v>0</v>
      </c>
      <c r="AF138" s="11">
        <v>0</v>
      </c>
      <c r="AG138" s="11">
        <v>0</v>
      </c>
      <c r="AH138" s="11">
        <v>1</v>
      </c>
      <c r="AI138" s="11">
        <v>0</v>
      </c>
      <c r="AJ138" s="11">
        <v>0</v>
      </c>
      <c r="AK138" s="11">
        <v>0</v>
      </c>
      <c r="AL138" s="11">
        <v>1</v>
      </c>
      <c r="AM138" s="11">
        <v>0</v>
      </c>
      <c r="AN138" s="11">
        <v>0</v>
      </c>
      <c r="AO138" s="11">
        <v>1</v>
      </c>
      <c r="AP138" s="11">
        <v>0</v>
      </c>
      <c r="AQ138" s="11">
        <v>1</v>
      </c>
      <c r="AR138" s="11">
        <v>0</v>
      </c>
      <c r="AS138" s="11">
        <v>0</v>
      </c>
      <c r="AT138" s="11">
        <v>1</v>
      </c>
      <c r="AU138" s="11">
        <v>0</v>
      </c>
      <c r="AV138" s="11">
        <v>0</v>
      </c>
      <c r="AW138" s="11">
        <v>0</v>
      </c>
      <c r="AX138" s="11">
        <v>0</v>
      </c>
      <c r="AY138" s="11">
        <v>0</v>
      </c>
      <c r="AZ138" s="11">
        <v>0</v>
      </c>
      <c r="BA138" s="11">
        <v>0</v>
      </c>
      <c r="BB138" s="11">
        <v>1</v>
      </c>
      <c r="BC138" s="11">
        <v>0</v>
      </c>
      <c r="BD138" s="11">
        <v>0</v>
      </c>
      <c r="BE138" s="11">
        <v>0</v>
      </c>
      <c r="BF138" s="11">
        <v>0</v>
      </c>
      <c r="BG138" s="11">
        <v>0</v>
      </c>
      <c r="BH138" s="11">
        <v>0</v>
      </c>
      <c r="BI138" s="11">
        <v>0</v>
      </c>
      <c r="BJ138" s="11">
        <v>1</v>
      </c>
      <c r="BK138" s="11">
        <v>0</v>
      </c>
      <c r="BL138" s="11">
        <v>0</v>
      </c>
      <c r="BM138" s="11">
        <v>0</v>
      </c>
      <c r="BN138" s="11">
        <v>0</v>
      </c>
      <c r="BO138" s="11">
        <v>0</v>
      </c>
      <c r="BP138" s="11">
        <v>1</v>
      </c>
      <c r="BQ138" s="11">
        <v>0</v>
      </c>
      <c r="BR138" s="11">
        <v>0</v>
      </c>
      <c r="BS138" s="11">
        <v>0</v>
      </c>
      <c r="BT138" s="11">
        <v>0</v>
      </c>
      <c r="BU138" s="11">
        <v>0</v>
      </c>
      <c r="BV138" s="11">
        <v>0</v>
      </c>
      <c r="BW138" s="11">
        <v>0</v>
      </c>
      <c r="BX138" s="11">
        <v>1</v>
      </c>
      <c r="BY138" s="11">
        <v>1</v>
      </c>
      <c r="BZ138" s="11">
        <v>1</v>
      </c>
      <c r="CA138" s="11">
        <v>0</v>
      </c>
      <c r="CB138" s="11">
        <v>0</v>
      </c>
      <c r="CC138" s="11">
        <v>0</v>
      </c>
      <c r="CD138" s="11">
        <v>0</v>
      </c>
      <c r="CE138" s="11">
        <v>0</v>
      </c>
      <c r="CF138" s="11">
        <v>0</v>
      </c>
      <c r="CG138" s="11">
        <v>0</v>
      </c>
      <c r="CH138" s="11">
        <f ca="1">E138</f>
        <v>5</v>
      </c>
    </row>
    <row r="139" spans="4:86" x14ac:dyDescent="0.3">
      <c r="D139" s="11">
        <v>4</v>
      </c>
      <c r="E139" s="11">
        <f t="shared" ca="1" si="16"/>
        <v>5</v>
      </c>
      <c r="F139" s="10">
        <f t="array" aca="1" ref="F139" ca="1">IF(SUM(OFFSET(Factors,VALUE(RIGHT(F$34,2)),1,1,68))=0,"None",SQRT(SUM((OFFSET(Factors,VALUE(RIGHT(F$34,2)),1,1,68)-$R139:$CG139)^2)))</f>
        <v>3.2368859349003261</v>
      </c>
      <c r="G139" s="10">
        <f t="array" aca="1" ref="G139" ca="1">IF(SUM(OFFSET(Factors,VALUE(RIGHT(G$34,2)),1,1,68))=0,"None",SQRT(SUM((OFFSET(Factors,VALUE(RIGHT(G$34,2)),1,1,68)-$R139:$CG139)^2)))</f>
        <v>3.2753336701605797</v>
      </c>
      <c r="H139" s="10">
        <f t="array" aca="1" ref="H139" ca="1">IF(SUM(OFFSET(Factors,VALUE(RIGHT(H$34,2)),1,1,68))=0,"None",SQRT(SUM((OFFSET(Factors,VALUE(RIGHT(H$34,2)),1,1,68)-$R139:$CG139)^2)))</f>
        <v>3.2972674017038863</v>
      </c>
      <c r="I139" s="10">
        <f t="array" aca="1" ref="I139" ca="1">IF(SUM(OFFSET(Factors,VALUE(RIGHT(I$34,2)),1,1,68))=0,"None",SQRT(SUM((OFFSET(Factors,VALUE(RIGHT(I$34,2)),1,1,68)-$R139:$CG139)^2)))</f>
        <v>3.421190648669767</v>
      </c>
      <c r="J139" s="10">
        <f t="array" aca="1" ref="J139" ca="1">IF(SUM(OFFSET(Factors,VALUE(RIGHT(J$34,2)),1,1,68))=0,"None",SQRT(SUM((OFFSET(Factors,VALUE(RIGHT(J$34,2)),1,1,68)-$R139:$CG139)^2)))</f>
        <v>2.7472713735632306</v>
      </c>
      <c r="K139" s="10" t="str">
        <f t="array" aca="1" ref="K139" ca="1">IF(SUM(OFFSET(Factors,VALUE(RIGHT(K$34,2)),1,1,68))=0,"None",SQRT(SUM((OFFSET(Factors,VALUE(RIGHT(K$34,2)),1,1,68)-$R139:$CG139)^2)))</f>
        <v>None</v>
      </c>
      <c r="L139" s="10" t="str">
        <f t="array" aca="1" ref="L139" ca="1">IF(SUM(OFFSET(Factors,VALUE(RIGHT(L$34,2)),1,1,68))=0,"None",SQRT(SUM((OFFSET(Factors,VALUE(RIGHT(L$34,2)),1,1,68)-$R139:$CG139)^2)))</f>
        <v>None</v>
      </c>
      <c r="M139" s="10" t="str">
        <f t="array" aca="1" ref="M139" ca="1">IF(SUM(OFFSET(Factors,VALUE(RIGHT(M$34,2)),1,1,68))=0,"None",SQRT(SUM((OFFSET(Factors,VALUE(RIGHT(M$34,2)),1,1,68)-$R139:$CG139)^2)))</f>
        <v>None</v>
      </c>
      <c r="N139" s="10" t="str">
        <f t="array" aca="1" ref="N139" ca="1">IF(SUM(OFFSET(Factors,VALUE(RIGHT(N$34,2)),1,1,68))=0,"None",SQRT(SUM((OFFSET(Factors,VALUE(RIGHT(N$34,2)),1,1,68)-$R139:$CG139)^2)))</f>
        <v>None</v>
      </c>
      <c r="O139" s="10" t="str">
        <f t="array" aca="1" ref="O139" ca="1">IF(SUM(OFFSET(Factors,VALUE(RIGHT(O$34,2)),1,1,68))=0,"None",SQRT(SUM((OFFSET(Factors,VALUE(RIGHT(O$34,2)),1,1,68)-$R139:$CG139)^2)))</f>
        <v>None</v>
      </c>
      <c r="Q139" s="10" t="s">
        <v>23</v>
      </c>
      <c r="R139" s="11">
        <v>0</v>
      </c>
      <c r="S139" s="11">
        <v>0</v>
      </c>
      <c r="T139" s="11">
        <v>0</v>
      </c>
      <c r="U139" s="11">
        <v>0</v>
      </c>
      <c r="V139" s="11">
        <v>0</v>
      </c>
      <c r="W139" s="11">
        <v>0</v>
      </c>
      <c r="X139" s="11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1</v>
      </c>
      <c r="AE139" s="11">
        <v>0</v>
      </c>
      <c r="AF139" s="11">
        <v>1</v>
      </c>
      <c r="AG139" s="11">
        <v>0</v>
      </c>
      <c r="AH139" s="11">
        <v>0</v>
      </c>
      <c r="AI139" s="11">
        <v>0</v>
      </c>
      <c r="AJ139" s="11">
        <v>0</v>
      </c>
      <c r="AK139" s="11">
        <v>0</v>
      </c>
      <c r="AL139" s="11">
        <v>0</v>
      </c>
      <c r="AM139" s="11">
        <v>0</v>
      </c>
      <c r="AN139" s="11">
        <v>0</v>
      </c>
      <c r="AO139" s="11">
        <v>1</v>
      </c>
      <c r="AP139" s="11">
        <v>0</v>
      </c>
      <c r="AQ139" s="11">
        <v>1</v>
      </c>
      <c r="AR139" s="11">
        <v>0</v>
      </c>
      <c r="AS139" s="11">
        <v>0</v>
      </c>
      <c r="AT139" s="11">
        <v>1</v>
      </c>
      <c r="AU139" s="11">
        <v>0</v>
      </c>
      <c r="AV139" s="11">
        <v>1</v>
      </c>
      <c r="AW139" s="11">
        <v>0</v>
      </c>
      <c r="AX139" s="11">
        <v>0</v>
      </c>
      <c r="AY139" s="11">
        <v>0</v>
      </c>
      <c r="AZ139" s="11">
        <v>0</v>
      </c>
      <c r="BA139" s="11">
        <v>0</v>
      </c>
      <c r="BB139" s="11">
        <v>1</v>
      </c>
      <c r="BC139" s="11">
        <v>0</v>
      </c>
      <c r="BD139" s="11">
        <v>0</v>
      </c>
      <c r="BE139" s="11">
        <v>0</v>
      </c>
      <c r="BF139" s="11">
        <v>0</v>
      </c>
      <c r="BG139" s="11">
        <v>0</v>
      </c>
      <c r="BH139" s="11">
        <v>0</v>
      </c>
      <c r="BI139" s="11">
        <v>1</v>
      </c>
      <c r="BJ139" s="11">
        <v>1</v>
      </c>
      <c r="BK139" s="11">
        <v>0</v>
      </c>
      <c r="BL139" s="11">
        <v>0</v>
      </c>
      <c r="BM139" s="11">
        <v>0</v>
      </c>
      <c r="BN139" s="11">
        <v>0</v>
      </c>
      <c r="BO139" s="11">
        <v>0</v>
      </c>
      <c r="BP139" s="11">
        <v>0</v>
      </c>
      <c r="BQ139" s="11">
        <v>1</v>
      </c>
      <c r="BR139" s="11">
        <v>0</v>
      </c>
      <c r="BS139" s="11">
        <v>0</v>
      </c>
      <c r="BT139" s="11">
        <v>0</v>
      </c>
      <c r="BU139" s="11">
        <v>0</v>
      </c>
      <c r="BV139" s="11">
        <v>0</v>
      </c>
      <c r="BW139" s="11">
        <v>0</v>
      </c>
      <c r="BX139" s="11">
        <v>1</v>
      </c>
      <c r="BY139" s="11">
        <v>0</v>
      </c>
      <c r="BZ139" s="11">
        <v>0</v>
      </c>
      <c r="CA139" s="11">
        <v>0</v>
      </c>
      <c r="CB139" s="11">
        <v>0</v>
      </c>
      <c r="CC139" s="11">
        <v>0</v>
      </c>
      <c r="CD139" s="11">
        <v>0</v>
      </c>
      <c r="CE139" s="11">
        <v>1</v>
      </c>
      <c r="CF139" s="11">
        <v>0</v>
      </c>
      <c r="CG139" s="11">
        <v>0</v>
      </c>
      <c r="CH139" s="11">
        <f ca="1">E139</f>
        <v>5</v>
      </c>
    </row>
    <row r="140" spans="4:86" x14ac:dyDescent="0.3">
      <c r="D140" s="11">
        <v>4</v>
      </c>
      <c r="E140" s="11">
        <f t="shared" ca="1" si="16"/>
        <v>5</v>
      </c>
      <c r="F140" s="10">
        <f t="array" aca="1" ref="F140" ca="1">IF(SUM(OFFSET(Factors,VALUE(RIGHT(F$34,2)),1,1,68))=0,"None",SQRT(SUM((OFFSET(Factors,VALUE(RIGHT(F$34,2)),1,1,68)-$R140:$CG140)^2)))</f>
        <v>2.8972568443654114</v>
      </c>
      <c r="G140" s="10">
        <f t="array" aca="1" ref="G140" ca="1">IF(SUM(OFFSET(Factors,VALUE(RIGHT(G$34,2)),1,1,68))=0,"None",SQRT(SUM((OFFSET(Factors,VALUE(RIGHT(G$34,2)),1,1,68)-$R140:$CG140)^2)))</f>
        <v>3.1435102679542384</v>
      </c>
      <c r="H140" s="10">
        <f t="array" aca="1" ref="H140" ca="1">IF(SUM(OFFSET(Factors,VALUE(RIGHT(H$34,2)),1,1,68))=0,"None",SQRT(SUM((OFFSET(Factors,VALUE(RIGHT(H$34,2)),1,1,68)-$R140:$CG140)^2)))</f>
        <v>2.9982693970293313</v>
      </c>
      <c r="I140" s="10">
        <f t="array" aca="1" ref="I140" ca="1">IF(SUM(OFFSET(Factors,VALUE(RIGHT(I$34,2)),1,1,68))=0,"None",SQRT(SUM((OFFSET(Factors,VALUE(RIGHT(I$34,2)),1,1,68)-$R140:$CG140)^2)))</f>
        <v>2.9348997195196236</v>
      </c>
      <c r="J140" s="10">
        <f t="array" aca="1" ref="J140" ca="1">IF(SUM(OFFSET(Factors,VALUE(RIGHT(J$34,2)),1,1,68))=0,"None",SQRT(SUM((OFFSET(Factors,VALUE(RIGHT(J$34,2)),1,1,68)-$R140:$CG140)^2)))</f>
        <v>2.5194245374688244</v>
      </c>
      <c r="K140" s="10" t="str">
        <f t="array" aca="1" ref="K140" ca="1">IF(SUM(OFFSET(Factors,VALUE(RIGHT(K$34,2)),1,1,68))=0,"None",SQRT(SUM((OFFSET(Factors,VALUE(RIGHT(K$34,2)),1,1,68)-$R140:$CG140)^2)))</f>
        <v>None</v>
      </c>
      <c r="L140" s="10" t="str">
        <f t="array" aca="1" ref="L140" ca="1">IF(SUM(OFFSET(Factors,VALUE(RIGHT(L$34,2)),1,1,68))=0,"None",SQRT(SUM((OFFSET(Factors,VALUE(RIGHT(L$34,2)),1,1,68)-$R140:$CG140)^2)))</f>
        <v>None</v>
      </c>
      <c r="M140" s="10" t="str">
        <f t="array" aca="1" ref="M140" ca="1">IF(SUM(OFFSET(Factors,VALUE(RIGHT(M$34,2)),1,1,68))=0,"None",SQRT(SUM((OFFSET(Factors,VALUE(RIGHT(M$34,2)),1,1,68)-$R140:$CG140)^2)))</f>
        <v>None</v>
      </c>
      <c r="N140" s="10" t="str">
        <f t="array" aca="1" ref="N140" ca="1">IF(SUM(OFFSET(Factors,VALUE(RIGHT(N$34,2)),1,1,68))=0,"None",SQRT(SUM((OFFSET(Factors,VALUE(RIGHT(N$34,2)),1,1,68)-$R140:$CG140)^2)))</f>
        <v>None</v>
      </c>
      <c r="O140" s="10" t="str">
        <f t="array" aca="1" ref="O140" ca="1">IF(SUM(OFFSET(Factors,VALUE(RIGHT(O$34,2)),1,1,68))=0,"None",SQRT(SUM((OFFSET(Factors,VALUE(RIGHT(O$34,2)),1,1,68)-$R140:$CG140)^2)))</f>
        <v>None</v>
      </c>
      <c r="Q140" s="10" t="s">
        <v>21</v>
      </c>
      <c r="R140" s="11">
        <v>0</v>
      </c>
      <c r="S140" s="11">
        <v>0</v>
      </c>
      <c r="T140" s="11">
        <v>0</v>
      </c>
      <c r="U140" s="11">
        <v>0</v>
      </c>
      <c r="V140" s="11">
        <v>0</v>
      </c>
      <c r="W140" s="11">
        <v>0</v>
      </c>
      <c r="X140" s="11">
        <v>0</v>
      </c>
      <c r="Y140" s="11">
        <v>0</v>
      </c>
      <c r="Z140" s="11">
        <v>0</v>
      </c>
      <c r="AA140" s="11">
        <v>1</v>
      </c>
      <c r="AB140" s="11">
        <v>0</v>
      </c>
      <c r="AC140" s="11">
        <v>0</v>
      </c>
      <c r="AD140" s="11">
        <v>0</v>
      </c>
      <c r="AE140" s="11">
        <v>0</v>
      </c>
      <c r="AF140" s="11">
        <v>0</v>
      </c>
      <c r="AG140" s="11">
        <v>1</v>
      </c>
      <c r="AH140" s="11">
        <v>1</v>
      </c>
      <c r="AI140" s="11">
        <v>0</v>
      </c>
      <c r="AJ140" s="11">
        <v>0</v>
      </c>
      <c r="AK140" s="11">
        <v>0</v>
      </c>
      <c r="AL140" s="11">
        <v>0</v>
      </c>
      <c r="AM140" s="11">
        <v>0</v>
      </c>
      <c r="AN140" s="11">
        <v>0</v>
      </c>
      <c r="AO140" s="11">
        <v>0</v>
      </c>
      <c r="AP140" s="11">
        <v>0</v>
      </c>
      <c r="AQ140" s="11">
        <v>1</v>
      </c>
      <c r="AR140" s="11">
        <v>0</v>
      </c>
      <c r="AS140" s="11">
        <v>1</v>
      </c>
      <c r="AT140" s="11">
        <v>1</v>
      </c>
      <c r="AU140" s="11">
        <v>0</v>
      </c>
      <c r="AV140" s="11">
        <v>0</v>
      </c>
      <c r="AW140" s="11">
        <v>0</v>
      </c>
      <c r="AX140" s="11">
        <v>0</v>
      </c>
      <c r="AY140" s="11">
        <v>0</v>
      </c>
      <c r="AZ140" s="11">
        <v>1</v>
      </c>
      <c r="BA140" s="11">
        <v>0</v>
      </c>
      <c r="BB140" s="11">
        <v>0</v>
      </c>
      <c r="BC140" s="11">
        <v>0</v>
      </c>
      <c r="BD140" s="11">
        <v>0</v>
      </c>
      <c r="BE140" s="11">
        <v>0</v>
      </c>
      <c r="BF140" s="11">
        <v>0</v>
      </c>
      <c r="BG140" s="11">
        <v>1</v>
      </c>
      <c r="BH140" s="11">
        <v>0</v>
      </c>
      <c r="BI140" s="11">
        <v>1</v>
      </c>
      <c r="BJ140" s="11">
        <v>1</v>
      </c>
      <c r="BK140" s="11">
        <v>0</v>
      </c>
      <c r="BL140" s="11">
        <v>0</v>
      </c>
      <c r="BM140" s="11">
        <v>0</v>
      </c>
      <c r="BN140" s="11">
        <v>0</v>
      </c>
      <c r="BO140" s="11">
        <v>0</v>
      </c>
      <c r="BP140" s="11">
        <v>1</v>
      </c>
      <c r="BQ140" s="11">
        <v>0</v>
      </c>
      <c r="BR140" s="11">
        <v>0</v>
      </c>
      <c r="BS140" s="11">
        <v>0</v>
      </c>
      <c r="BT140" s="11">
        <v>0</v>
      </c>
      <c r="BU140" s="11">
        <v>0</v>
      </c>
      <c r="BV140" s="11">
        <v>0</v>
      </c>
      <c r="BW140" s="11">
        <v>0</v>
      </c>
      <c r="BX140" s="11">
        <v>0</v>
      </c>
      <c r="BY140" s="11">
        <v>0</v>
      </c>
      <c r="BZ140" s="11">
        <v>0</v>
      </c>
      <c r="CA140" s="11">
        <v>0</v>
      </c>
      <c r="CB140" s="11">
        <v>0</v>
      </c>
      <c r="CC140" s="11">
        <v>0</v>
      </c>
      <c r="CD140" s="11">
        <v>0</v>
      </c>
      <c r="CE140" s="11">
        <v>1</v>
      </c>
      <c r="CF140" s="11">
        <v>0</v>
      </c>
      <c r="CG140" s="11">
        <v>0</v>
      </c>
      <c r="CH140" s="11">
        <f ca="1">E140</f>
        <v>5</v>
      </c>
    </row>
    <row r="141" spans="4:86" x14ac:dyDescent="0.3">
      <c r="D141" s="11">
        <v>2</v>
      </c>
      <c r="E141" s="11">
        <f t="shared" ca="1" si="16"/>
        <v>5</v>
      </c>
      <c r="F141" s="10">
        <f t="array" aca="1" ref="F141" ca="1">IF(SUM(OFFSET(Factors,VALUE(RIGHT(F$34,2)),1,1,68))=0,"None",SQRT(SUM((OFFSET(Factors,VALUE(RIGHT(F$34,2)),1,1,68)-$R141:$CG141)^2)))</f>
        <v>2.8244345550137209</v>
      </c>
      <c r="G141" s="10">
        <f t="array" aca="1" ref="G141" ca="1">IF(SUM(OFFSET(Factors,VALUE(RIGHT(G$34,2)),1,1,68))=0,"None",SQRT(SUM((OFFSET(Factors,VALUE(RIGHT(G$34,2)),1,1,68)-$R141:$CG141)^2)))</f>
        <v>2.901744017516926</v>
      </c>
      <c r="H141" s="10">
        <f t="array" aca="1" ref="H141" ca="1">IF(SUM(OFFSET(Factors,VALUE(RIGHT(H$34,2)),1,1,68))=0,"None",SQRT(SUM((OFFSET(Factors,VALUE(RIGHT(H$34,2)),1,1,68)-$R141:$CG141)^2)))</f>
        <v>3.1325945778104343</v>
      </c>
      <c r="I141" s="10">
        <f t="array" aca="1" ref="I141" ca="1">IF(SUM(OFFSET(Factors,VALUE(RIGHT(I$34,2)),1,1,68))=0,"None",SQRT(SUM((OFFSET(Factors,VALUE(RIGHT(I$34,2)),1,1,68)-$R141:$CG141)^2)))</f>
        <v>2.9962097268503638</v>
      </c>
      <c r="J141" s="10">
        <f t="array" aca="1" ref="J141" ca="1">IF(SUM(OFFSET(Factors,VALUE(RIGHT(J$34,2)),1,1,68))=0,"None",SQRT(SUM((OFFSET(Factors,VALUE(RIGHT(J$34,2)),1,1,68)-$R141:$CG141)^2)))</f>
        <v>2.5975950415721076</v>
      </c>
      <c r="K141" s="10" t="str">
        <f t="array" aca="1" ref="K141" ca="1">IF(SUM(OFFSET(Factors,VALUE(RIGHT(K$34,2)),1,1,68))=0,"None",SQRT(SUM((OFFSET(Factors,VALUE(RIGHT(K$34,2)),1,1,68)-$R141:$CG141)^2)))</f>
        <v>None</v>
      </c>
      <c r="L141" s="10" t="str">
        <f t="array" aca="1" ref="L141" ca="1">IF(SUM(OFFSET(Factors,VALUE(RIGHT(L$34,2)),1,1,68))=0,"None",SQRT(SUM((OFFSET(Factors,VALUE(RIGHT(L$34,2)),1,1,68)-$R141:$CG141)^2)))</f>
        <v>None</v>
      </c>
      <c r="M141" s="10" t="str">
        <f t="array" aca="1" ref="M141" ca="1">IF(SUM(OFFSET(Factors,VALUE(RIGHT(M$34,2)),1,1,68))=0,"None",SQRT(SUM((OFFSET(Factors,VALUE(RIGHT(M$34,2)),1,1,68)-$R141:$CG141)^2)))</f>
        <v>None</v>
      </c>
      <c r="N141" s="10" t="str">
        <f t="array" aca="1" ref="N141" ca="1">IF(SUM(OFFSET(Factors,VALUE(RIGHT(N$34,2)),1,1,68))=0,"None",SQRT(SUM((OFFSET(Factors,VALUE(RIGHT(N$34,2)),1,1,68)-$R141:$CG141)^2)))</f>
        <v>None</v>
      </c>
      <c r="O141" s="10" t="str">
        <f t="array" aca="1" ref="O141" ca="1">IF(SUM(OFFSET(Factors,VALUE(RIGHT(O$34,2)),1,1,68))=0,"None",SQRT(SUM((OFFSET(Factors,VALUE(RIGHT(O$34,2)),1,1,68)-$R141:$CG141)^2)))</f>
        <v>None</v>
      </c>
      <c r="Q141" s="10" t="s">
        <v>13</v>
      </c>
      <c r="R141" s="11">
        <v>0</v>
      </c>
      <c r="S141" s="11">
        <v>0</v>
      </c>
      <c r="T141" s="11">
        <v>0</v>
      </c>
      <c r="U141" s="11">
        <v>0</v>
      </c>
      <c r="V141" s="11">
        <v>0</v>
      </c>
      <c r="W141" s="11">
        <v>0</v>
      </c>
      <c r="X141" s="11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1</v>
      </c>
      <c r="AD141" s="11">
        <v>0</v>
      </c>
      <c r="AE141" s="11">
        <v>0</v>
      </c>
      <c r="AF141" s="11">
        <v>0</v>
      </c>
      <c r="AG141" s="11">
        <v>0</v>
      </c>
      <c r="AH141" s="11">
        <v>0</v>
      </c>
      <c r="AI141" s="11">
        <v>0</v>
      </c>
      <c r="AJ141" s="11">
        <v>0</v>
      </c>
      <c r="AK141" s="11">
        <v>0</v>
      </c>
      <c r="AL141" s="11">
        <v>0</v>
      </c>
      <c r="AM141" s="11">
        <v>0</v>
      </c>
      <c r="AN141" s="11">
        <v>0</v>
      </c>
      <c r="AO141" s="11">
        <v>1</v>
      </c>
      <c r="AP141" s="11">
        <v>0</v>
      </c>
      <c r="AQ141" s="11">
        <v>0</v>
      </c>
      <c r="AR141" s="11">
        <v>0</v>
      </c>
      <c r="AS141" s="11">
        <v>1</v>
      </c>
      <c r="AT141" s="11">
        <v>0</v>
      </c>
      <c r="AU141" s="11">
        <v>0</v>
      </c>
      <c r="AV141" s="11">
        <v>1</v>
      </c>
      <c r="AW141" s="11">
        <v>0</v>
      </c>
      <c r="AX141" s="11">
        <v>0</v>
      </c>
      <c r="AY141" s="11">
        <v>0</v>
      </c>
      <c r="AZ141" s="11">
        <v>0</v>
      </c>
      <c r="BA141" s="11">
        <v>0</v>
      </c>
      <c r="BB141" s="11">
        <v>1</v>
      </c>
      <c r="BC141" s="11">
        <v>0</v>
      </c>
      <c r="BD141" s="11">
        <v>0</v>
      </c>
      <c r="BE141" s="11">
        <v>0</v>
      </c>
      <c r="BF141" s="11">
        <v>0</v>
      </c>
      <c r="BG141" s="11">
        <v>1</v>
      </c>
      <c r="BH141" s="11">
        <v>0</v>
      </c>
      <c r="BI141" s="11">
        <v>0</v>
      </c>
      <c r="BJ141" s="11">
        <v>0</v>
      </c>
      <c r="BK141" s="11">
        <v>1</v>
      </c>
      <c r="BL141" s="11">
        <v>0</v>
      </c>
      <c r="BM141" s="11">
        <v>0</v>
      </c>
      <c r="BN141" s="11">
        <v>0</v>
      </c>
      <c r="BO141" s="11">
        <v>0</v>
      </c>
      <c r="BP141" s="11">
        <v>0</v>
      </c>
      <c r="BQ141" s="11">
        <v>0</v>
      </c>
      <c r="BR141" s="11">
        <v>0</v>
      </c>
      <c r="BS141" s="11">
        <v>0</v>
      </c>
      <c r="BT141" s="11">
        <v>0</v>
      </c>
      <c r="BU141" s="11">
        <v>0</v>
      </c>
      <c r="BV141" s="11">
        <v>0</v>
      </c>
      <c r="BW141" s="11">
        <v>0</v>
      </c>
      <c r="BX141" s="11">
        <v>1</v>
      </c>
      <c r="BY141" s="11">
        <v>0</v>
      </c>
      <c r="BZ141" s="11">
        <v>0</v>
      </c>
      <c r="CA141" s="11">
        <v>0</v>
      </c>
      <c r="CB141" s="11">
        <v>0</v>
      </c>
      <c r="CC141" s="11">
        <v>0</v>
      </c>
      <c r="CD141" s="11">
        <v>0</v>
      </c>
      <c r="CE141" s="11">
        <v>0</v>
      </c>
      <c r="CF141" s="11">
        <v>0</v>
      </c>
      <c r="CG141" s="11">
        <v>0</v>
      </c>
      <c r="CH141" s="11">
        <f ca="1">E141</f>
        <v>5</v>
      </c>
    </row>
    <row r="142" spans="4:86" x14ac:dyDescent="0.3">
      <c r="D142" s="11">
        <v>1</v>
      </c>
      <c r="E142" s="11">
        <f t="shared" ca="1" si="16"/>
        <v>5</v>
      </c>
      <c r="F142" s="10">
        <f t="array" aca="1" ref="F142" ca="1">IF(SUM(OFFSET(Factors,VALUE(RIGHT(F$34,2)),1,1,68))=0,"None",SQRT(SUM((OFFSET(Factors,VALUE(RIGHT(F$34,2)),1,1,68)-$R142:$CG142)^2)))</f>
        <v>3.0920484939419839</v>
      </c>
      <c r="G142" s="10">
        <f t="array" aca="1" ref="G142" ca="1">IF(SUM(OFFSET(Factors,VALUE(RIGHT(G$34,2)),1,1,68))=0,"None",SQRT(SUM((OFFSET(Factors,VALUE(RIGHT(G$34,2)),1,1,68)-$R142:$CG142)^2)))</f>
        <v>3.0440552211399052</v>
      </c>
      <c r="H142" s="10">
        <f t="array" aca="1" ref="H142" ca="1">IF(SUM(OFFSET(Factors,VALUE(RIGHT(H$34,2)),1,1,68))=0,"None",SQRT(SUM((OFFSET(Factors,VALUE(RIGHT(H$34,2)),1,1,68)-$R142:$CG142)^2)))</f>
        <v>3.3415699851114784</v>
      </c>
      <c r="I142" s="10">
        <f t="array" aca="1" ref="I142" ca="1">IF(SUM(OFFSET(Factors,VALUE(RIGHT(I$34,2)),1,1,68))=0,"None",SQRT(SUM((OFFSET(Factors,VALUE(RIGHT(I$34,2)),1,1,68)-$R142:$CG142)^2)))</f>
        <v>3.0113421954639792</v>
      </c>
      <c r="J142" s="10">
        <f t="array" aca="1" ref="J142" ca="1">IF(SUM(OFFSET(Factors,VALUE(RIGHT(J$34,2)),1,1,68))=0,"None",SQRT(SUM((OFFSET(Factors,VALUE(RIGHT(J$34,2)),1,1,68)-$R142:$CG142)^2)))</f>
        <v>2.7834331319433558</v>
      </c>
      <c r="K142" s="10" t="str">
        <f t="array" aca="1" ref="K142" ca="1">IF(SUM(OFFSET(Factors,VALUE(RIGHT(K$34,2)),1,1,68))=0,"None",SQRT(SUM((OFFSET(Factors,VALUE(RIGHT(K$34,2)),1,1,68)-$R142:$CG142)^2)))</f>
        <v>None</v>
      </c>
      <c r="L142" s="10" t="str">
        <f t="array" aca="1" ref="L142" ca="1">IF(SUM(OFFSET(Factors,VALUE(RIGHT(L$34,2)),1,1,68))=0,"None",SQRT(SUM((OFFSET(Factors,VALUE(RIGHT(L$34,2)),1,1,68)-$R142:$CG142)^2)))</f>
        <v>None</v>
      </c>
      <c r="M142" s="10" t="str">
        <f t="array" aca="1" ref="M142" ca="1">IF(SUM(OFFSET(Factors,VALUE(RIGHT(M$34,2)),1,1,68))=0,"None",SQRT(SUM((OFFSET(Factors,VALUE(RIGHT(M$34,2)),1,1,68)-$R142:$CG142)^2)))</f>
        <v>None</v>
      </c>
      <c r="N142" s="10" t="str">
        <f t="array" aca="1" ref="N142" ca="1">IF(SUM(OFFSET(Factors,VALUE(RIGHT(N$34,2)),1,1,68))=0,"None",SQRT(SUM((OFFSET(Factors,VALUE(RIGHT(N$34,2)),1,1,68)-$R142:$CG142)^2)))</f>
        <v>None</v>
      </c>
      <c r="O142" s="10" t="str">
        <f t="array" aca="1" ref="O142" ca="1">IF(SUM(OFFSET(Factors,VALUE(RIGHT(O$34,2)),1,1,68))=0,"None",SQRT(SUM((OFFSET(Factors,VALUE(RIGHT(O$34,2)),1,1,68)-$R142:$CG142)^2)))</f>
        <v>None</v>
      </c>
      <c r="Q142" s="10" t="s">
        <v>12</v>
      </c>
      <c r="R142" s="11">
        <v>0</v>
      </c>
      <c r="S142" s="11">
        <v>0</v>
      </c>
      <c r="T142" s="11">
        <v>0</v>
      </c>
      <c r="U142" s="11">
        <v>0</v>
      </c>
      <c r="V142" s="11">
        <v>0</v>
      </c>
      <c r="W142" s="11">
        <v>0</v>
      </c>
      <c r="X142" s="11">
        <v>0</v>
      </c>
      <c r="Y142" s="11">
        <v>0</v>
      </c>
      <c r="Z142" s="11">
        <v>1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0</v>
      </c>
      <c r="AG142" s="11">
        <v>0</v>
      </c>
      <c r="AH142" s="11">
        <v>0</v>
      </c>
      <c r="AI142" s="11">
        <v>0</v>
      </c>
      <c r="AJ142" s="11">
        <v>0</v>
      </c>
      <c r="AK142" s="11">
        <v>1</v>
      </c>
      <c r="AL142" s="11">
        <v>1</v>
      </c>
      <c r="AM142" s="11">
        <v>0</v>
      </c>
      <c r="AN142" s="11">
        <v>0</v>
      </c>
      <c r="AO142" s="11">
        <v>1</v>
      </c>
      <c r="AP142" s="11">
        <v>0</v>
      </c>
      <c r="AQ142" s="11">
        <v>0</v>
      </c>
      <c r="AR142" s="11">
        <v>0</v>
      </c>
      <c r="AS142" s="11">
        <v>0</v>
      </c>
      <c r="AT142" s="11">
        <v>0</v>
      </c>
      <c r="AU142" s="11">
        <v>0</v>
      </c>
      <c r="AV142" s="11">
        <v>1</v>
      </c>
      <c r="AW142" s="11">
        <v>0</v>
      </c>
      <c r="AX142" s="11">
        <v>0</v>
      </c>
      <c r="AY142" s="11">
        <v>0</v>
      </c>
      <c r="AZ142" s="11">
        <v>0</v>
      </c>
      <c r="BA142" s="11">
        <v>1</v>
      </c>
      <c r="BB142" s="11">
        <v>0</v>
      </c>
      <c r="BC142" s="11">
        <v>0</v>
      </c>
      <c r="BD142" s="11">
        <v>0</v>
      </c>
      <c r="BE142" s="11">
        <v>0</v>
      </c>
      <c r="BF142" s="11">
        <v>0</v>
      </c>
      <c r="BG142" s="11">
        <v>1</v>
      </c>
      <c r="BH142" s="11">
        <v>0</v>
      </c>
      <c r="BI142" s="11">
        <v>0</v>
      </c>
      <c r="BJ142" s="11">
        <v>1</v>
      </c>
      <c r="BK142" s="11">
        <v>0</v>
      </c>
      <c r="BL142" s="11">
        <v>0</v>
      </c>
      <c r="BM142" s="11">
        <v>0</v>
      </c>
      <c r="BN142" s="11">
        <v>0</v>
      </c>
      <c r="BO142" s="11">
        <v>0</v>
      </c>
      <c r="BP142" s="11">
        <v>0</v>
      </c>
      <c r="BQ142" s="11">
        <v>0</v>
      </c>
      <c r="BR142" s="11">
        <v>0</v>
      </c>
      <c r="BS142" s="11">
        <v>0</v>
      </c>
      <c r="BT142" s="11">
        <v>1</v>
      </c>
      <c r="BU142" s="11">
        <v>0</v>
      </c>
      <c r="BV142" s="11">
        <v>0</v>
      </c>
      <c r="BW142" s="11">
        <v>0</v>
      </c>
      <c r="BX142" s="11">
        <v>0</v>
      </c>
      <c r="BY142" s="11">
        <v>1</v>
      </c>
      <c r="BZ142" s="11">
        <v>0</v>
      </c>
      <c r="CA142" s="11">
        <v>0</v>
      </c>
      <c r="CB142" s="11">
        <v>0</v>
      </c>
      <c r="CC142" s="11">
        <v>0</v>
      </c>
      <c r="CD142" s="11">
        <v>0</v>
      </c>
      <c r="CE142" s="11">
        <v>0</v>
      </c>
      <c r="CF142" s="11">
        <v>0</v>
      </c>
      <c r="CG142" s="11">
        <v>1</v>
      </c>
      <c r="CH142" s="11">
        <f ca="1">E142</f>
        <v>5</v>
      </c>
    </row>
    <row r="143" spans="4:86" x14ac:dyDescent="0.3">
      <c r="D143" s="3">
        <v>2</v>
      </c>
      <c r="E143" s="3">
        <f t="shared" ca="1" si="16"/>
        <v>5</v>
      </c>
      <c r="F143" s="12">
        <f t="array" aca="1" ref="F143" ca="1">IF(SUM(OFFSET(Factors,VALUE(RIGHT(F$34,2)),1,1,68))=0,"None",SQRT(SUM((OFFSET(Factors,VALUE(RIGHT(F$34,2)),1,1,68)-$R143:$CG143)^2)))</f>
        <v>3.3132205715218475</v>
      </c>
      <c r="G143" s="12">
        <f t="array" aca="1" ref="G143" ca="1">IF(SUM(OFFSET(Factors,VALUE(RIGHT(G$34,2)),1,1,68))=0,"None",SQRT(SUM((OFFSET(Factors,VALUE(RIGHT(G$34,2)),1,1,68)-$R143:$CG143)^2)))</f>
        <v>3.2399137982542601</v>
      </c>
      <c r="H143" s="12">
        <f t="array" aca="1" ref="H143" ca="1">IF(SUM(OFFSET(Factors,VALUE(RIGHT(H$34,2)),1,1,68))=0,"None",SQRT(SUM((OFFSET(Factors,VALUE(RIGHT(H$34,2)),1,1,68)-$R143:$CG143)^2)))</f>
        <v>3.179192733381567</v>
      </c>
      <c r="I143" s="12">
        <f t="array" aca="1" ref="I143" ca="1">IF(SUM(OFFSET(Factors,VALUE(RIGHT(I$34,2)),1,1,68))=0,"None",SQRT(SUM((OFFSET(Factors,VALUE(RIGHT(I$34,2)),1,1,68)-$R143:$CG143)^2)))</f>
        <v>3.2717801659869301</v>
      </c>
      <c r="J143" s="12">
        <f t="array" aca="1" ref="J143" ca="1">IF(SUM(OFFSET(Factors,VALUE(RIGHT(J$34,2)),1,1,68))=0,"None",SQRT(SUM((OFFSET(Factors,VALUE(RIGHT(J$34,2)),1,1,68)-$R143:$CG143)^2)))</f>
        <v>2.7654113618049667</v>
      </c>
      <c r="K143" s="12" t="str">
        <f t="array" aca="1" ref="K143" ca="1">IF(SUM(OFFSET(Factors,VALUE(RIGHT(K$34,2)),1,1,68))=0,"None",SQRT(SUM((OFFSET(Factors,VALUE(RIGHT(K$34,2)),1,1,68)-$R143:$CG143)^2)))</f>
        <v>None</v>
      </c>
      <c r="L143" s="12" t="str">
        <f t="array" aca="1" ref="L143" ca="1">IF(SUM(OFFSET(Factors,VALUE(RIGHT(L$34,2)),1,1,68))=0,"None",SQRT(SUM((OFFSET(Factors,VALUE(RIGHT(L$34,2)),1,1,68)-$R143:$CG143)^2)))</f>
        <v>None</v>
      </c>
      <c r="M143" s="12" t="str">
        <f t="array" aca="1" ref="M143" ca="1">IF(SUM(OFFSET(Factors,VALUE(RIGHT(M$34,2)),1,1,68))=0,"None",SQRT(SUM((OFFSET(Factors,VALUE(RIGHT(M$34,2)),1,1,68)-$R143:$CG143)^2)))</f>
        <v>None</v>
      </c>
      <c r="N143" s="12" t="str">
        <f t="array" aca="1" ref="N143" ca="1">IF(SUM(OFFSET(Factors,VALUE(RIGHT(N$34,2)),1,1,68))=0,"None",SQRT(SUM((OFFSET(Factors,VALUE(RIGHT(N$34,2)),1,1,68)-$R143:$CG143)^2)))</f>
        <v>None</v>
      </c>
      <c r="O143" s="12" t="str">
        <f t="array" aca="1" ref="O143" ca="1">IF(SUM(OFFSET(Factors,VALUE(RIGHT(O$34,2)),1,1,68))=0,"None",SQRT(SUM((OFFSET(Factors,VALUE(RIGHT(O$34,2)),1,1,68)-$R143:$CG143)^2)))</f>
        <v>None</v>
      </c>
      <c r="Q143" s="12" t="s">
        <v>9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1</v>
      </c>
      <c r="AC143" s="3">
        <v>0</v>
      </c>
      <c r="AD143" s="3">
        <v>0</v>
      </c>
      <c r="AE143" s="3">
        <v>0</v>
      </c>
      <c r="AF143" s="3">
        <v>0</v>
      </c>
      <c r="AG143" s="3">
        <v>0</v>
      </c>
      <c r="AH143" s="3">
        <v>0</v>
      </c>
      <c r="AI143" s="3">
        <v>0</v>
      </c>
      <c r="AJ143" s="3">
        <v>0</v>
      </c>
      <c r="AK143" s="3">
        <v>1</v>
      </c>
      <c r="AL143" s="3">
        <v>0</v>
      </c>
      <c r="AM143" s="3">
        <v>0</v>
      </c>
      <c r="AN143" s="3">
        <v>0</v>
      </c>
      <c r="AO143" s="3">
        <v>1</v>
      </c>
      <c r="AP143" s="3">
        <v>0</v>
      </c>
      <c r="AQ143" s="3">
        <v>1</v>
      </c>
      <c r="AR143" s="3">
        <v>0</v>
      </c>
      <c r="AS143" s="3">
        <v>1</v>
      </c>
      <c r="AT143" s="3">
        <v>0</v>
      </c>
      <c r="AU143" s="3">
        <v>0</v>
      </c>
      <c r="AV143" s="3">
        <v>0</v>
      </c>
      <c r="AW143" s="3">
        <v>0</v>
      </c>
      <c r="AX143" s="3">
        <v>1</v>
      </c>
      <c r="AY143" s="3">
        <v>0</v>
      </c>
      <c r="AZ143" s="3">
        <v>0</v>
      </c>
      <c r="BA143" s="3">
        <v>1</v>
      </c>
      <c r="BB143" s="3">
        <v>1</v>
      </c>
      <c r="BC143" s="3">
        <v>0</v>
      </c>
      <c r="BD143" s="3">
        <v>0</v>
      </c>
      <c r="BE143" s="3">
        <v>0</v>
      </c>
      <c r="BF143" s="3">
        <v>0</v>
      </c>
      <c r="BG143" s="3">
        <v>0</v>
      </c>
      <c r="BH143" s="3">
        <v>1</v>
      </c>
      <c r="BI143" s="3">
        <v>0</v>
      </c>
      <c r="BJ143" s="3">
        <v>1</v>
      </c>
      <c r="BK143" s="3">
        <v>0</v>
      </c>
      <c r="BL143" s="3">
        <v>0</v>
      </c>
      <c r="BM143" s="3">
        <v>0</v>
      </c>
      <c r="BN143" s="3">
        <v>0</v>
      </c>
      <c r="BO143" s="3">
        <v>0</v>
      </c>
      <c r="BP143" s="3">
        <v>1</v>
      </c>
      <c r="BQ143" s="3">
        <v>0</v>
      </c>
      <c r="BR143" s="3">
        <v>1</v>
      </c>
      <c r="BS143" s="3">
        <v>0</v>
      </c>
      <c r="BT143" s="3">
        <v>0</v>
      </c>
      <c r="BU143" s="3">
        <v>0</v>
      </c>
      <c r="BV143" s="3">
        <v>0</v>
      </c>
      <c r="BW143" s="3">
        <v>0</v>
      </c>
      <c r="BX143" s="3">
        <v>0</v>
      </c>
      <c r="BY143" s="3">
        <v>0</v>
      </c>
      <c r="BZ143" s="3">
        <v>0</v>
      </c>
      <c r="CA143" s="3">
        <v>0</v>
      </c>
      <c r="CB143" s="3">
        <v>0</v>
      </c>
      <c r="CC143" s="3">
        <v>0</v>
      </c>
      <c r="CD143" s="3">
        <v>1</v>
      </c>
      <c r="CE143" s="3">
        <v>0</v>
      </c>
      <c r="CF143" s="3">
        <v>0</v>
      </c>
      <c r="CG143" s="3">
        <v>0</v>
      </c>
      <c r="CH143" s="3">
        <f ca="1">E143</f>
        <v>5</v>
      </c>
    </row>
  </sheetData>
  <sortState ref="Q35:CH143">
    <sortCondition ref="CH34"/>
    <sortCondition ref="Q35"/>
  </sortState>
  <mergeCells count="4">
    <mergeCell ref="U32:W32"/>
    <mergeCell ref="U33:W33"/>
    <mergeCell ref="F33:O33"/>
    <mergeCell ref="D33:E33"/>
  </mergeCells>
  <conditionalFormatting sqref="R35:CG143">
    <cfRule type="expression" dxfId="9" priority="13" stopIfTrue="1">
      <formula>$E35=1</formula>
    </cfRule>
  </conditionalFormatting>
  <conditionalFormatting sqref="Q35:CG143">
    <cfRule type="expression" dxfId="8" priority="1">
      <formula>$E35=9</formula>
    </cfRule>
    <cfRule type="expression" dxfId="7" priority="2">
      <formula>$E35=8</formula>
    </cfRule>
    <cfRule type="expression" dxfId="6" priority="3">
      <formula>$E35=7</formula>
    </cfRule>
    <cfRule type="expression" dxfId="5" priority="4">
      <formula>$E35=6</formula>
    </cfRule>
    <cfRule type="expression" dxfId="4" priority="5" stopIfTrue="1">
      <formula>$E35=3</formula>
    </cfRule>
    <cfRule type="expression" dxfId="3" priority="6" stopIfTrue="1">
      <formula>$E35=2</formula>
    </cfRule>
    <cfRule type="expression" dxfId="2" priority="7" stopIfTrue="1">
      <formula>$E35=1</formula>
    </cfRule>
    <cfRule type="expression" dxfId="1" priority="11" stopIfTrue="1">
      <formula>$E35=4</formula>
    </cfRule>
    <cfRule type="expression" dxfId="0" priority="12" stopIfTrue="1">
      <formula>$E35=5</formula>
    </cfRule>
  </conditionalFormatting>
  <dataValidations count="1">
    <dataValidation type="whole" allowBlank="1" showInputMessage="1" showErrorMessage="1" prompt="Enter a number between 2 and 10" sqref="R31" xr:uid="{00000000-0002-0000-0100-000000000000}">
      <formula1>2</formula1>
      <formula2>10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btnReset">
          <controlPr defaultSize="0" autoLine="0" r:id="rId4">
            <anchor moveWithCells="1">
              <from>
                <xdr:col>19</xdr:col>
                <xdr:colOff>182880</xdr:colOff>
                <xdr:row>29</xdr:row>
                <xdr:rowOff>38100</xdr:rowOff>
              </from>
              <to>
                <xdr:col>20</xdr:col>
                <xdr:colOff>236220</xdr:colOff>
                <xdr:row>31</xdr:row>
                <xdr:rowOff>167640</xdr:rowOff>
              </to>
            </anchor>
          </controlPr>
        </control>
      </mc:Choice>
      <mc:Fallback>
        <control shapeId="1029" r:id="rId3" name="btnReset"/>
      </mc:Fallback>
    </mc:AlternateContent>
    <mc:AlternateContent xmlns:mc="http://schemas.openxmlformats.org/markup-compatibility/2006">
      <mc:Choice Requires="x14">
        <control shapeId="1025" r:id="rId5" name="btnBuildClusters">
          <controlPr defaultSize="0" autoLine="0" r:id="rId6">
            <anchor moveWithCells="1">
              <from>
                <xdr:col>18</xdr:col>
                <xdr:colOff>76200</xdr:colOff>
                <xdr:row>29</xdr:row>
                <xdr:rowOff>38100</xdr:rowOff>
              </from>
              <to>
                <xdr:col>19</xdr:col>
                <xdr:colOff>129540</xdr:colOff>
                <xdr:row>31</xdr:row>
                <xdr:rowOff>167640</xdr:rowOff>
              </to>
            </anchor>
          </controlPr>
        </control>
      </mc:Choice>
      <mc:Fallback>
        <control shapeId="1025" r:id="rId5" name="btnBuildClusters"/>
      </mc:Fallback>
    </mc:AlternateContent>
    <mc:AlternateContent xmlns:mc="http://schemas.openxmlformats.org/markup-compatibility/2006">
      <mc:Choice Requires="x14">
        <control shapeId="1027" r:id="rId7" name="btnSortName">
          <controlPr defaultSize="0" autoLine="0" r:id="rId8">
            <anchor moveWithCells="1">
              <from>
                <xdr:col>23</xdr:col>
                <xdr:colOff>678180</xdr:colOff>
                <xdr:row>29</xdr:row>
                <xdr:rowOff>38100</xdr:rowOff>
              </from>
              <to>
                <xdr:col>25</xdr:col>
                <xdr:colOff>7620</xdr:colOff>
                <xdr:row>31</xdr:row>
                <xdr:rowOff>167640</xdr:rowOff>
              </to>
            </anchor>
          </controlPr>
        </control>
      </mc:Choice>
      <mc:Fallback>
        <control shapeId="1027" r:id="rId7" name="btnSortName"/>
      </mc:Fallback>
    </mc:AlternateContent>
    <mc:AlternateContent xmlns:mc="http://schemas.openxmlformats.org/markup-compatibility/2006">
      <mc:Choice Requires="x14">
        <control shapeId="1028" r:id="rId9" name="btnSortCluster">
          <controlPr defaultSize="0" autoLine="0" r:id="rId10">
            <anchor moveWithCells="1">
              <from>
                <xdr:col>22</xdr:col>
                <xdr:colOff>556260</xdr:colOff>
                <xdr:row>29</xdr:row>
                <xdr:rowOff>38100</xdr:rowOff>
              </from>
              <to>
                <xdr:col>23</xdr:col>
                <xdr:colOff>647700</xdr:colOff>
                <xdr:row>31</xdr:row>
                <xdr:rowOff>167640</xdr:rowOff>
              </to>
            </anchor>
          </controlPr>
        </control>
      </mc:Choice>
      <mc:Fallback>
        <control shapeId="1028" r:id="rId9" name="btnSortClust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Explanation</vt:lpstr>
      <vt:lpstr>ClusterAnalysis</vt:lpstr>
      <vt:lpstr>CalculateCentroids</vt:lpstr>
      <vt:lpstr>clusterValues</vt:lpstr>
      <vt:lpstr>Factors</vt:lpstr>
      <vt:lpstr>Names</vt:lpstr>
      <vt:lpstr>newCentroids</vt:lpstr>
      <vt:lpstr>newClusters</vt:lpstr>
      <vt:lpstr>numClusters</vt:lpstr>
      <vt:lpstr>prevClusters</vt:lpstr>
      <vt:lpstr>Random1</vt:lpstr>
      <vt:lpstr>Random2</vt:lpstr>
      <vt:lpstr>Random3</vt:lpstr>
      <vt:lpstr>randomStartingCentroids</vt:lpstr>
      <vt:lpstr>Seed</vt:lpstr>
      <vt:lpstr>sortKeyCluster</vt:lpstr>
      <vt:lpstr>sortKeyName</vt:lpstr>
      <vt:lpstr>sortRange</vt:lpstr>
      <vt:lpstr>timeToStop</vt:lpstr>
    </vt:vector>
  </TitlesOfParts>
  <Company>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Murray, David</dc:creator>
  <cp:lastModifiedBy>Yale Waller</cp:lastModifiedBy>
  <dcterms:created xsi:type="dcterms:W3CDTF">2015-04-15T17:42:25Z</dcterms:created>
  <dcterms:modified xsi:type="dcterms:W3CDTF">2018-02-27T13:49:17Z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3341322b-4c85-4d36-acbc-9af4a7f9f2b8</vt:lpwstr>
  </property>
</Properties>
</file>