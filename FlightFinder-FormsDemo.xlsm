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Yale\Documents\School\Advanced Modeling Techniques\FinalProject\"/>
    </mc:Choice>
  </mc:AlternateContent>
  <bookViews>
    <workbookView xWindow="0" yWindow="0" windowWidth="24000" windowHeight="10200"/>
  </bookViews>
  <sheets>
    <sheet name="Description" sheetId="3" r:id="rId1"/>
    <sheet name="FlightStart" sheetId="1" r:id="rId2"/>
    <sheet name="FlightInfo" sheetId="2" r:id="rId3"/>
  </sheets>
  <functionGroups builtInGroupCount="18"/>
  <definedNames>
    <definedName name="airline">FlightStart!$J$11</definedName>
    <definedName name="date">FlightStart!$L$11</definedName>
    <definedName name="flighttable">FlightInfo!$G$3:$K$92</definedName>
    <definedName name="GetStarted">FlightStart!$G$11</definedName>
    <definedName name="Mean">FlightInfo!$R$3</definedName>
    <definedName name="ModelDepart">FlightInfo!$I$3</definedName>
    <definedName name="ModelReturn">FlightInfo!$J$3</definedName>
    <definedName name="numberedft">FlightInfo!$F$3:$K$92</definedName>
    <definedName name="numdays">FlightStart!$L$51</definedName>
    <definedName name="price">FlightStart!$K$11</definedName>
    <definedName name="PriceRange">FlightInfo!$K$4:$K$92</definedName>
    <definedName name="StDev">FlightInfo!$R$4</definedName>
    <definedName name="user_depart">FlightInfo!$B$4</definedName>
    <definedName name="user_from">FlightInfo!$B$3</definedName>
    <definedName name="user_return">FlightInfo!$B$5</definedName>
    <definedName name="user_to">FlightInfo!$B$2</definedName>
    <definedName name="website">FlightStart!$I$11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92" i="2" l="1"/>
  <c r="G92" i="2"/>
  <c r="H91" i="2"/>
  <c r="G91" i="2"/>
  <c r="H90" i="2"/>
  <c r="G90" i="2"/>
  <c r="H89" i="2"/>
  <c r="G89" i="2"/>
  <c r="H88" i="2"/>
  <c r="G88" i="2"/>
  <c r="H87" i="2"/>
  <c r="G87" i="2"/>
  <c r="H86" i="2"/>
  <c r="G86" i="2"/>
  <c r="H85" i="2"/>
  <c r="G85" i="2"/>
  <c r="H84" i="2"/>
  <c r="G84" i="2"/>
  <c r="H83" i="2"/>
  <c r="G83" i="2"/>
  <c r="H82" i="2"/>
  <c r="G82" i="2"/>
  <c r="H81" i="2"/>
  <c r="G81" i="2"/>
  <c r="H80" i="2"/>
  <c r="G80" i="2"/>
  <c r="H79" i="2"/>
  <c r="G79" i="2"/>
  <c r="H78" i="2"/>
  <c r="G78" i="2"/>
  <c r="H77" i="2"/>
  <c r="G77" i="2"/>
  <c r="H76" i="2"/>
  <c r="G76" i="2"/>
  <c r="H75" i="2"/>
  <c r="G75" i="2"/>
  <c r="H74" i="2"/>
  <c r="G74" i="2"/>
  <c r="H73" i="2"/>
  <c r="G73" i="2"/>
  <c r="H72" i="2"/>
  <c r="G72" i="2"/>
  <c r="H71" i="2"/>
  <c r="G71" i="2"/>
  <c r="H70" i="2"/>
  <c r="G70" i="2"/>
  <c r="H69" i="2"/>
  <c r="G69" i="2"/>
  <c r="H68" i="2"/>
  <c r="G68" i="2"/>
  <c r="H67" i="2"/>
  <c r="G67" i="2"/>
  <c r="H66" i="2"/>
  <c r="G66" i="2"/>
  <c r="H65" i="2"/>
  <c r="G65" i="2"/>
  <c r="H64" i="2"/>
  <c r="G64" i="2"/>
  <c r="H63" i="2"/>
  <c r="G63" i="2"/>
  <c r="H62" i="2"/>
  <c r="G62" i="2"/>
  <c r="H61" i="2"/>
  <c r="G61" i="2"/>
  <c r="H60" i="2"/>
  <c r="G60" i="2"/>
  <c r="H59" i="2"/>
  <c r="G59" i="2"/>
  <c r="H58" i="2"/>
  <c r="G58" i="2"/>
  <c r="H57" i="2"/>
  <c r="G57" i="2"/>
  <c r="H56" i="2"/>
  <c r="G56" i="2"/>
  <c r="H55" i="2"/>
  <c r="G55" i="2"/>
  <c r="H54" i="2"/>
  <c r="G54" i="2"/>
  <c r="H53" i="2"/>
  <c r="G53" i="2"/>
  <c r="H52" i="2"/>
  <c r="G52" i="2"/>
  <c r="H51" i="2"/>
  <c r="G51" i="2"/>
  <c r="H50" i="2"/>
  <c r="G50" i="2"/>
  <c r="H49" i="2"/>
  <c r="G49" i="2"/>
  <c r="H48" i="2"/>
  <c r="G48" i="2"/>
  <c r="H47" i="2"/>
  <c r="G47" i="2"/>
  <c r="H46" i="2"/>
  <c r="G46" i="2"/>
  <c r="H45" i="2"/>
  <c r="G45" i="2"/>
  <c r="H44" i="2"/>
  <c r="G44" i="2"/>
  <c r="H43" i="2"/>
  <c r="G43" i="2"/>
  <c r="H42" i="2"/>
  <c r="G42" i="2"/>
  <c r="H41" i="2"/>
  <c r="G41" i="2"/>
  <c r="H40" i="2"/>
  <c r="G40" i="2"/>
  <c r="H39" i="2"/>
  <c r="G39" i="2"/>
  <c r="H38" i="2"/>
  <c r="G38" i="2"/>
  <c r="H37" i="2"/>
  <c r="G37" i="2"/>
  <c r="H36" i="2"/>
  <c r="G36" i="2"/>
  <c r="H35" i="2"/>
  <c r="G35" i="2"/>
  <c r="H34" i="2"/>
  <c r="G34" i="2"/>
  <c r="H33" i="2"/>
  <c r="G33" i="2"/>
  <c r="H32" i="2"/>
  <c r="G32" i="2"/>
  <c r="H31" i="2"/>
  <c r="G31" i="2"/>
  <c r="H30" i="2"/>
  <c r="G30" i="2"/>
  <c r="H29" i="2"/>
  <c r="G29" i="2"/>
  <c r="H28" i="2"/>
  <c r="G28" i="2"/>
  <c r="H27" i="2"/>
  <c r="G27" i="2"/>
  <c r="H26" i="2"/>
  <c r="G26" i="2"/>
  <c r="H25" i="2"/>
  <c r="G25" i="2"/>
  <c r="H24" i="2"/>
  <c r="G24" i="2"/>
  <c r="H23" i="2"/>
  <c r="G23" i="2"/>
  <c r="H22" i="2"/>
  <c r="G22" i="2"/>
  <c r="H21" i="2"/>
  <c r="G21" i="2"/>
  <c r="H20" i="2"/>
  <c r="G20" i="2"/>
  <c r="H19" i="2"/>
  <c r="G19" i="2"/>
  <c r="H18" i="2"/>
  <c r="G18" i="2"/>
  <c r="H17" i="2"/>
  <c r="G17" i="2"/>
  <c r="H16" i="2"/>
  <c r="G16" i="2"/>
  <c r="H15" i="2"/>
  <c r="G15" i="2"/>
  <c r="H14" i="2"/>
  <c r="G14" i="2"/>
  <c r="H13" i="2"/>
  <c r="G13" i="2"/>
  <c r="H12" i="2"/>
  <c r="G12" i="2"/>
  <c r="H11" i="2"/>
  <c r="G11" i="2"/>
  <c r="H10" i="2"/>
  <c r="G10" i="2"/>
  <c r="H9" i="2"/>
  <c r="G9" i="2"/>
  <c r="H8" i="2"/>
  <c r="G8" i="2"/>
  <c r="H7" i="2"/>
  <c r="G7" i="2"/>
  <c r="H6" i="2"/>
  <c r="G6" i="2"/>
  <c r="H5" i="2"/>
  <c r="G5" i="2"/>
  <c r="H4" i="2"/>
  <c r="G4" i="2"/>
  <c r="J3" i="2"/>
  <c r="J92" i="2" s="1"/>
  <c r="I3" i="2"/>
  <c r="I84" i="2" s="1"/>
  <c r="H3" i="2"/>
  <c r="G3" i="2"/>
  <c r="K3" i="2"/>
  <c r="L51" i="1" l="1"/>
  <c r="L11" i="1" s="1"/>
  <c r="J11" i="1"/>
  <c r="I11" i="1"/>
  <c r="J15" i="2"/>
  <c r="J23" i="2"/>
  <c r="J31" i="2"/>
  <c r="J39" i="2"/>
  <c r="J47" i="2"/>
  <c r="J55" i="2"/>
  <c r="J63" i="2"/>
  <c r="J71" i="2"/>
  <c r="J79" i="2"/>
  <c r="J87" i="2"/>
  <c r="J10" i="2"/>
  <c r="J18" i="2"/>
  <c r="J26" i="2"/>
  <c r="J34" i="2"/>
  <c r="J42" i="2"/>
  <c r="J50" i="2"/>
  <c r="J58" i="2"/>
  <c r="J66" i="2"/>
  <c r="J74" i="2"/>
  <c r="J82" i="2"/>
  <c r="J90" i="2"/>
  <c r="J13" i="2"/>
  <c r="J21" i="2"/>
  <c r="J29" i="2"/>
  <c r="J37" i="2"/>
  <c r="J45" i="2"/>
  <c r="J53" i="2"/>
  <c r="J61" i="2"/>
  <c r="J69" i="2"/>
  <c r="J77" i="2"/>
  <c r="J85" i="2"/>
  <c r="J8" i="2"/>
  <c r="J16" i="2"/>
  <c r="J24" i="2"/>
  <c r="J32" i="2"/>
  <c r="J40" i="2"/>
  <c r="J48" i="2"/>
  <c r="J56" i="2"/>
  <c r="J64" i="2"/>
  <c r="J72" i="2"/>
  <c r="J80" i="2"/>
  <c r="J88" i="2"/>
  <c r="J19" i="2"/>
  <c r="J27" i="2"/>
  <c r="J35" i="2"/>
  <c r="J43" i="2"/>
  <c r="J51" i="2"/>
  <c r="J59" i="2"/>
  <c r="J67" i="2"/>
  <c r="J75" i="2"/>
  <c r="J83" i="2"/>
  <c r="J91" i="2"/>
  <c r="J7" i="2"/>
  <c r="J5" i="2"/>
  <c r="J6" i="2"/>
  <c r="J14" i="2"/>
  <c r="J22" i="2"/>
  <c r="J30" i="2"/>
  <c r="J38" i="2"/>
  <c r="J46" i="2"/>
  <c r="J54" i="2"/>
  <c r="J62" i="2"/>
  <c r="J70" i="2"/>
  <c r="J78" i="2"/>
  <c r="J86" i="2"/>
  <c r="J11" i="2"/>
  <c r="J17" i="2"/>
  <c r="J25" i="2"/>
  <c r="J33" i="2"/>
  <c r="J41" i="2"/>
  <c r="J49" i="2"/>
  <c r="J57" i="2"/>
  <c r="J65" i="2"/>
  <c r="J73" i="2"/>
  <c r="J81" i="2"/>
  <c r="J89" i="2"/>
  <c r="J9" i="2"/>
  <c r="J4" i="2"/>
  <c r="J12" i="2"/>
  <c r="J20" i="2"/>
  <c r="J28" i="2"/>
  <c r="J36" i="2"/>
  <c r="J44" i="2"/>
  <c r="J52" i="2"/>
  <c r="J60" i="2"/>
  <c r="J68" i="2"/>
  <c r="J76" i="2"/>
  <c r="J84" i="2"/>
  <c r="I5" i="2"/>
  <c r="I9" i="2"/>
  <c r="I15" i="2"/>
  <c r="I19" i="2"/>
  <c r="I25" i="2"/>
  <c r="I29" i="2"/>
  <c r="I33" i="2"/>
  <c r="I37" i="2"/>
  <c r="I43" i="2"/>
  <c r="I47" i="2"/>
  <c r="I51" i="2"/>
  <c r="I55" i="2"/>
  <c r="I57" i="2"/>
  <c r="I59" i="2"/>
  <c r="I63" i="2"/>
  <c r="I65" i="2"/>
  <c r="I67" i="2"/>
  <c r="I69" i="2"/>
  <c r="I71" i="2"/>
  <c r="I73" i="2"/>
  <c r="I75" i="2"/>
  <c r="I77" i="2"/>
  <c r="I79" i="2"/>
  <c r="I81" i="2"/>
  <c r="I85" i="2"/>
  <c r="I87" i="2"/>
  <c r="I89" i="2"/>
  <c r="I91" i="2"/>
  <c r="I7" i="2"/>
  <c r="I11" i="2"/>
  <c r="I13" i="2"/>
  <c r="I17" i="2"/>
  <c r="I21" i="2"/>
  <c r="I23" i="2"/>
  <c r="I27" i="2"/>
  <c r="I31" i="2"/>
  <c r="I35" i="2"/>
  <c r="I39" i="2"/>
  <c r="I41" i="2"/>
  <c r="I45" i="2"/>
  <c r="I49" i="2"/>
  <c r="I53" i="2"/>
  <c r="I61" i="2"/>
  <c r="I83" i="2"/>
  <c r="I4" i="2"/>
  <c r="I8" i="2"/>
  <c r="I12" i="2"/>
  <c r="I16" i="2"/>
  <c r="I22" i="2"/>
  <c r="I26" i="2"/>
  <c r="I30" i="2"/>
  <c r="I34" i="2"/>
  <c r="I38" i="2"/>
  <c r="I42" i="2"/>
  <c r="I46" i="2"/>
  <c r="I50" i="2"/>
  <c r="I54" i="2"/>
  <c r="I58" i="2"/>
  <c r="I62" i="2"/>
  <c r="I64" i="2"/>
  <c r="I66" i="2"/>
  <c r="I68" i="2"/>
  <c r="I70" i="2"/>
  <c r="I72" i="2"/>
  <c r="I74" i="2"/>
  <c r="I76" i="2"/>
  <c r="I78" i="2"/>
  <c r="I80" i="2"/>
  <c r="I82" i="2"/>
  <c r="I86" i="2"/>
  <c r="I88" i="2"/>
  <c r="I90" i="2"/>
  <c r="I92" i="2"/>
  <c r="I6" i="2"/>
  <c r="I10" i="2"/>
  <c r="I14" i="2"/>
  <c r="I18" i="2"/>
  <c r="I20" i="2"/>
  <c r="I24" i="2"/>
  <c r="I28" i="2"/>
  <c r="I32" i="2"/>
  <c r="I36" i="2"/>
  <c r="I40" i="2"/>
  <c r="I44" i="2"/>
  <c r="I48" i="2"/>
  <c r="I52" i="2"/>
  <c r="I56" i="2"/>
  <c r="I60" i="2"/>
</calcChain>
</file>

<file path=xl/sharedStrings.xml><?xml version="1.0" encoding="utf-8"?>
<sst xmlns="http://schemas.openxmlformats.org/spreadsheetml/2006/main" count="20" uniqueCount="19">
  <si>
    <t>Price</t>
  </si>
  <si>
    <t>Airline</t>
  </si>
  <si>
    <t>To:</t>
  </si>
  <si>
    <t>From:</t>
  </si>
  <si>
    <t>Depart Date:</t>
  </si>
  <si>
    <t>Return Date:</t>
  </si>
  <si>
    <t>User Flight Information</t>
  </si>
  <si>
    <t>Fake flights for model building:</t>
  </si>
  <si>
    <t>Website</t>
  </si>
  <si>
    <t>Depart Date</t>
  </si>
  <si>
    <t>Return Date</t>
  </si>
  <si>
    <t>DailyGrowthMean</t>
  </si>
  <si>
    <t>DailyGrowthStDev</t>
  </si>
  <si>
    <t>Purchase Ticket on This Date:</t>
  </si>
  <si>
    <t>numdays</t>
  </si>
  <si>
    <t>Estimated Price:</t>
  </si>
  <si>
    <t>Website:</t>
  </si>
  <si>
    <t>Airline:</t>
  </si>
  <si>
    <t>GGG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</si>
</sst>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quot;$&quot;#,##0.00"/>
  </numFmts>
  <fonts count="5" x14ac:knownFonts="1">
    <font>
      <sz val="11"/>
      <color theme="1"/>
      <name val="Calibri"/>
      <family val="2"/>
      <scheme val="minor"/>
    </font>
    <font>
      <b/>
      <sz val="11"/>
      <color theme="1"/>
      <name val="Calibri"/>
      <family val="2"/>
      <scheme val="minor"/>
    </font>
    <font>
      <sz val="10"/>
      <color rgb="FF242729"/>
      <name val="Consolas"/>
      <family val="3"/>
    </font>
    <font>
      <b/>
      <sz val="11"/>
      <color rgb="FF3F3F3F"/>
      <name val="Calibri"/>
      <family val="2"/>
      <scheme val="minor"/>
    </font>
    <font>
      <b/>
      <sz val="11"/>
      <color rgb="FFFA7D0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F2F2F2"/>
      </patternFill>
    </fill>
  </fills>
  <borders count="5">
    <border>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s>
  <cellStyleXfs count="3">
    <xf numFmtId="0" fontId="0" fillId="0" borderId="0"/>
    <xf numFmtId="0" fontId="3" fillId="3" borderId="4" applyNumberFormat="0" applyAlignment="0" applyProtection="0"/>
    <xf numFmtId="0" fontId="4" fillId="3" borderId="3" applyNumberFormat="0" applyAlignment="0" applyProtection="0"/>
  </cellStyleXfs>
  <cellXfs count="12">
    <xf numFmtId="0" fontId="0" fillId="0" borderId="0" xfId="0"/>
    <xf numFmtId="0" fontId="1" fillId="0" borderId="0" xfId="0" applyFont="1"/>
    <xf numFmtId="14" fontId="0" fillId="0" borderId="0" xfId="0" applyNumberFormat="1"/>
    <xf numFmtId="0" fontId="2" fillId="0" borderId="0" xfId="0" applyFont="1" applyAlignment="1">
      <alignment horizontal="left" vertical="center"/>
    </xf>
    <xf numFmtId="0" fontId="0" fillId="0" borderId="1" xfId="0" applyBorder="1"/>
    <xf numFmtId="0" fontId="0" fillId="2" borderId="1" xfId="0" applyFill="1" applyBorder="1" applyAlignment="1">
      <alignment horizontal="center"/>
    </xf>
    <xf numFmtId="0" fontId="0" fillId="0" borderId="2" xfId="0" applyBorder="1"/>
    <xf numFmtId="0" fontId="0" fillId="2" borderId="2" xfId="0" applyFill="1" applyBorder="1" applyAlignment="1">
      <alignment horizontal="center"/>
    </xf>
    <xf numFmtId="0" fontId="4" fillId="3" borderId="3" xfId="2"/>
    <xf numFmtId="0" fontId="3" fillId="3" borderId="4" xfId="1" applyAlignment="1">
      <alignment horizontal="center"/>
    </xf>
    <xf numFmtId="164" fontId="3" fillId="3" borderId="4" xfId="1" applyNumberFormat="1" applyAlignment="1">
      <alignment horizontal="center"/>
    </xf>
    <xf numFmtId="14" fontId="3" fillId="3" borderId="4" xfId="1" applyNumberFormat="1" applyAlignment="1">
      <alignment horizontal="center"/>
    </xf>
  </cellXfs>
  <cellStyles count="3">
    <cellStyle name="Calculation" xfId="2" builtinId="22"/>
    <cellStyle name="Normal" xfId="0" builtinId="0"/>
    <cellStyle name="Output"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Historical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FlightInfo!$K$2</c:f>
              <c:strCache>
                <c:ptCount val="1"/>
                <c:pt idx="0">
                  <c:v>Price</c:v>
                </c:pt>
              </c:strCache>
            </c:strRef>
          </c:tx>
          <c:spPr>
            <a:ln w="28575" cap="rnd">
              <a:solidFill>
                <a:schemeClr val="accent1"/>
              </a:solidFill>
              <a:round/>
            </a:ln>
            <a:effectLst/>
          </c:spPr>
          <c:marker>
            <c:symbol val="none"/>
          </c:marker>
          <c:cat>
            <c:numRef>
              <c:f>FlightInfo!$I$3:$I$92</c:f>
              <c:numCache>
                <c:formatCode>m/d/yyyy</c:formatCode>
                <c:ptCount val="90"/>
                <c:pt idx="0">
                  <c:v>42770</c:v>
                </c:pt>
                <c:pt idx="1">
                  <c:v>42772</c:v>
                </c:pt>
                <c:pt idx="2">
                  <c:v>42773</c:v>
                </c:pt>
                <c:pt idx="3">
                  <c:v>42774</c:v>
                </c:pt>
                <c:pt idx="4">
                  <c:v>42775</c:v>
                </c:pt>
                <c:pt idx="5">
                  <c:v>42776</c:v>
                </c:pt>
                <c:pt idx="6">
                  <c:v>42777</c:v>
                </c:pt>
                <c:pt idx="7">
                  <c:v>42778</c:v>
                </c:pt>
                <c:pt idx="8">
                  <c:v>42779</c:v>
                </c:pt>
                <c:pt idx="9">
                  <c:v>42780</c:v>
                </c:pt>
                <c:pt idx="10">
                  <c:v>42781</c:v>
                </c:pt>
                <c:pt idx="11">
                  <c:v>42782</c:v>
                </c:pt>
                <c:pt idx="12">
                  <c:v>42783</c:v>
                </c:pt>
                <c:pt idx="13">
                  <c:v>42784</c:v>
                </c:pt>
                <c:pt idx="14">
                  <c:v>42785</c:v>
                </c:pt>
                <c:pt idx="15">
                  <c:v>42786</c:v>
                </c:pt>
                <c:pt idx="16">
                  <c:v>42787</c:v>
                </c:pt>
                <c:pt idx="17">
                  <c:v>42788</c:v>
                </c:pt>
                <c:pt idx="18">
                  <c:v>42789</c:v>
                </c:pt>
                <c:pt idx="19">
                  <c:v>42790</c:v>
                </c:pt>
                <c:pt idx="20">
                  <c:v>42791</c:v>
                </c:pt>
                <c:pt idx="21">
                  <c:v>42792</c:v>
                </c:pt>
                <c:pt idx="22">
                  <c:v>42793</c:v>
                </c:pt>
                <c:pt idx="23">
                  <c:v>42794</c:v>
                </c:pt>
                <c:pt idx="24">
                  <c:v>42795</c:v>
                </c:pt>
                <c:pt idx="25">
                  <c:v>42796</c:v>
                </c:pt>
                <c:pt idx="26">
                  <c:v>42797</c:v>
                </c:pt>
                <c:pt idx="27">
                  <c:v>42798</c:v>
                </c:pt>
                <c:pt idx="28">
                  <c:v>42799</c:v>
                </c:pt>
                <c:pt idx="29">
                  <c:v>42800</c:v>
                </c:pt>
                <c:pt idx="30">
                  <c:v>42801</c:v>
                </c:pt>
                <c:pt idx="31">
                  <c:v>42802</c:v>
                </c:pt>
                <c:pt idx="32">
                  <c:v>42803</c:v>
                </c:pt>
                <c:pt idx="33">
                  <c:v>42804</c:v>
                </c:pt>
                <c:pt idx="34">
                  <c:v>42805</c:v>
                </c:pt>
                <c:pt idx="35">
                  <c:v>42806</c:v>
                </c:pt>
                <c:pt idx="36">
                  <c:v>42807</c:v>
                </c:pt>
                <c:pt idx="37">
                  <c:v>42808</c:v>
                </c:pt>
                <c:pt idx="38">
                  <c:v>42809</c:v>
                </c:pt>
                <c:pt idx="39">
                  <c:v>42810</c:v>
                </c:pt>
                <c:pt idx="40">
                  <c:v>42811</c:v>
                </c:pt>
                <c:pt idx="41">
                  <c:v>42812</c:v>
                </c:pt>
                <c:pt idx="42">
                  <c:v>42813</c:v>
                </c:pt>
                <c:pt idx="43">
                  <c:v>42814</c:v>
                </c:pt>
                <c:pt idx="44">
                  <c:v>42815</c:v>
                </c:pt>
                <c:pt idx="45">
                  <c:v>42816</c:v>
                </c:pt>
                <c:pt idx="46">
                  <c:v>42817</c:v>
                </c:pt>
                <c:pt idx="47">
                  <c:v>42818</c:v>
                </c:pt>
                <c:pt idx="48">
                  <c:v>42819</c:v>
                </c:pt>
                <c:pt idx="49">
                  <c:v>42820</c:v>
                </c:pt>
                <c:pt idx="50">
                  <c:v>42821</c:v>
                </c:pt>
                <c:pt idx="51">
                  <c:v>42822</c:v>
                </c:pt>
                <c:pt idx="52">
                  <c:v>42823</c:v>
                </c:pt>
                <c:pt idx="53">
                  <c:v>42824</c:v>
                </c:pt>
                <c:pt idx="54">
                  <c:v>42825</c:v>
                </c:pt>
                <c:pt idx="55">
                  <c:v>42826</c:v>
                </c:pt>
                <c:pt idx="56">
                  <c:v>42827</c:v>
                </c:pt>
                <c:pt idx="57">
                  <c:v>42828</c:v>
                </c:pt>
                <c:pt idx="58">
                  <c:v>42829</c:v>
                </c:pt>
                <c:pt idx="59">
                  <c:v>42830</c:v>
                </c:pt>
                <c:pt idx="60">
                  <c:v>42831</c:v>
                </c:pt>
                <c:pt idx="61">
                  <c:v>42832</c:v>
                </c:pt>
                <c:pt idx="62">
                  <c:v>42833</c:v>
                </c:pt>
                <c:pt idx="63">
                  <c:v>42834</c:v>
                </c:pt>
                <c:pt idx="64">
                  <c:v>42835</c:v>
                </c:pt>
                <c:pt idx="65">
                  <c:v>42836</c:v>
                </c:pt>
                <c:pt idx="66">
                  <c:v>42837</c:v>
                </c:pt>
                <c:pt idx="67">
                  <c:v>42838</c:v>
                </c:pt>
                <c:pt idx="68">
                  <c:v>42839</c:v>
                </c:pt>
                <c:pt idx="69">
                  <c:v>42840</c:v>
                </c:pt>
                <c:pt idx="70">
                  <c:v>42841</c:v>
                </c:pt>
                <c:pt idx="71">
                  <c:v>42842</c:v>
                </c:pt>
                <c:pt idx="72">
                  <c:v>42843</c:v>
                </c:pt>
                <c:pt idx="73">
                  <c:v>42844</c:v>
                </c:pt>
                <c:pt idx="74">
                  <c:v>42845</c:v>
                </c:pt>
                <c:pt idx="75">
                  <c:v>42846</c:v>
                </c:pt>
                <c:pt idx="76">
                  <c:v>42847</c:v>
                </c:pt>
                <c:pt idx="77">
                  <c:v>42848</c:v>
                </c:pt>
                <c:pt idx="78">
                  <c:v>42849</c:v>
                </c:pt>
                <c:pt idx="79">
                  <c:v>42850</c:v>
                </c:pt>
                <c:pt idx="80">
                  <c:v>42851</c:v>
                </c:pt>
                <c:pt idx="81">
                  <c:v>42852</c:v>
                </c:pt>
                <c:pt idx="82">
                  <c:v>42853</c:v>
                </c:pt>
                <c:pt idx="83">
                  <c:v>42854</c:v>
                </c:pt>
                <c:pt idx="84">
                  <c:v>42855</c:v>
                </c:pt>
                <c:pt idx="85">
                  <c:v>42856</c:v>
                </c:pt>
                <c:pt idx="86">
                  <c:v>42857</c:v>
                </c:pt>
                <c:pt idx="87">
                  <c:v>42858</c:v>
                </c:pt>
                <c:pt idx="88">
                  <c:v>42859</c:v>
                </c:pt>
                <c:pt idx="89">
                  <c:v>42860</c:v>
                </c:pt>
              </c:numCache>
            </c:numRef>
          </c:cat>
          <c:val>
            <c:numRef>
              <c:f>FlightInfo!$K$3:$K$92</c:f>
              <c:numCache>
                <c:formatCode>General</c:formatCode>
                <c:ptCount val="90"/>
                <c:pt idx="0">
                  <c:v>738.9862982162075</c:v>
                </c:pt>
                <c:pt idx="1">
                  <c:v>759.23</c:v>
                </c:pt>
                <c:pt idx="2">
                  <c:v>762.42</c:v>
                </c:pt>
                <c:pt idx="3">
                  <c:v>770.11</c:v>
                </c:pt>
                <c:pt idx="4">
                  <c:v>749.05</c:v>
                </c:pt>
                <c:pt idx="5">
                  <c:v>729.87</c:v>
                </c:pt>
                <c:pt idx="6">
                  <c:v>757.93</c:v>
                </c:pt>
                <c:pt idx="7">
                  <c:v>679.09</c:v>
                </c:pt>
                <c:pt idx="8">
                  <c:v>703.58</c:v>
                </c:pt>
                <c:pt idx="9">
                  <c:v>735.76</c:v>
                </c:pt>
                <c:pt idx="10">
                  <c:v>756.3</c:v>
                </c:pt>
                <c:pt idx="11">
                  <c:v>694.96</c:v>
                </c:pt>
                <c:pt idx="12">
                  <c:v>687.45</c:v>
                </c:pt>
                <c:pt idx="13">
                  <c:v>726.03</c:v>
                </c:pt>
                <c:pt idx="14">
                  <c:v>755.97</c:v>
                </c:pt>
                <c:pt idx="15">
                  <c:v>743.88</c:v>
                </c:pt>
                <c:pt idx="16">
                  <c:v>812.87</c:v>
                </c:pt>
                <c:pt idx="17">
                  <c:v>860.26</c:v>
                </c:pt>
                <c:pt idx="18">
                  <c:v>794.63</c:v>
                </c:pt>
                <c:pt idx="19">
                  <c:v>862.56</c:v>
                </c:pt>
                <c:pt idx="20">
                  <c:v>847.69</c:v>
                </c:pt>
                <c:pt idx="21">
                  <c:v>850.34</c:v>
                </c:pt>
                <c:pt idx="22">
                  <c:v>881.92</c:v>
                </c:pt>
                <c:pt idx="23">
                  <c:v>813.64</c:v>
                </c:pt>
                <c:pt idx="24">
                  <c:v>823.21</c:v>
                </c:pt>
                <c:pt idx="25">
                  <c:v>819.98</c:v>
                </c:pt>
                <c:pt idx="26">
                  <c:v>798.55</c:v>
                </c:pt>
                <c:pt idx="27">
                  <c:v>811.13</c:v>
                </c:pt>
                <c:pt idx="28">
                  <c:v>826.67</c:v>
                </c:pt>
                <c:pt idx="29">
                  <c:v>800.97</c:v>
                </c:pt>
                <c:pt idx="30">
                  <c:v>777.89</c:v>
                </c:pt>
                <c:pt idx="31">
                  <c:v>815.87</c:v>
                </c:pt>
                <c:pt idx="32">
                  <c:v>854.83</c:v>
                </c:pt>
                <c:pt idx="33">
                  <c:v>864.52</c:v>
                </c:pt>
                <c:pt idx="34">
                  <c:v>965.04</c:v>
                </c:pt>
                <c:pt idx="35">
                  <c:v>1032.26</c:v>
                </c:pt>
                <c:pt idx="36">
                  <c:v>994.31</c:v>
                </c:pt>
                <c:pt idx="37">
                  <c:v>1020.01</c:v>
                </c:pt>
                <c:pt idx="38">
                  <c:v>1130.32</c:v>
                </c:pt>
                <c:pt idx="39">
                  <c:v>1091.79</c:v>
                </c:pt>
                <c:pt idx="40">
                  <c:v>1096.44</c:v>
                </c:pt>
                <c:pt idx="41">
                  <c:v>1030.21</c:v>
                </c:pt>
                <c:pt idx="42">
                  <c:v>1211.74</c:v>
                </c:pt>
                <c:pt idx="43">
                  <c:v>1239.75</c:v>
                </c:pt>
                <c:pt idx="44">
                  <c:v>1113.29</c:v>
                </c:pt>
                <c:pt idx="45">
                  <c:v>1123.8900000000001</c:v>
                </c:pt>
                <c:pt idx="46">
                  <c:v>1054.1500000000001</c:v>
                </c:pt>
                <c:pt idx="47">
                  <c:v>989.56</c:v>
                </c:pt>
                <c:pt idx="48">
                  <c:v>1031.8900000000001</c:v>
                </c:pt>
                <c:pt idx="49">
                  <c:v>1002.92</c:v>
                </c:pt>
                <c:pt idx="50">
                  <c:v>921.72</c:v>
                </c:pt>
                <c:pt idx="51">
                  <c:v>897.32</c:v>
                </c:pt>
                <c:pt idx="52">
                  <c:v>883.95</c:v>
                </c:pt>
                <c:pt idx="53">
                  <c:v>861.19</c:v>
                </c:pt>
                <c:pt idx="54">
                  <c:v>934.37</c:v>
                </c:pt>
                <c:pt idx="55">
                  <c:v>1035.24</c:v>
                </c:pt>
                <c:pt idx="56">
                  <c:v>1022.39</c:v>
                </c:pt>
                <c:pt idx="57">
                  <c:v>992.77</c:v>
                </c:pt>
                <c:pt idx="58">
                  <c:v>944.7</c:v>
                </c:pt>
                <c:pt idx="59">
                  <c:v>899.39</c:v>
                </c:pt>
                <c:pt idx="60">
                  <c:v>916.46</c:v>
                </c:pt>
                <c:pt idx="61">
                  <c:v>906.1</c:v>
                </c:pt>
                <c:pt idx="62">
                  <c:v>896.17</c:v>
                </c:pt>
                <c:pt idx="63">
                  <c:v>921.68</c:v>
                </c:pt>
                <c:pt idx="64">
                  <c:v>901.16</c:v>
                </c:pt>
                <c:pt idx="65">
                  <c:v>916.62</c:v>
                </c:pt>
                <c:pt idx="66">
                  <c:v>880.02</c:v>
                </c:pt>
                <c:pt idx="67">
                  <c:v>841.6</c:v>
                </c:pt>
                <c:pt idx="68">
                  <c:v>850.5</c:v>
                </c:pt>
                <c:pt idx="69">
                  <c:v>792.99</c:v>
                </c:pt>
                <c:pt idx="70">
                  <c:v>788.82</c:v>
                </c:pt>
                <c:pt idx="71">
                  <c:v>842.42</c:v>
                </c:pt>
                <c:pt idx="72">
                  <c:v>815.92</c:v>
                </c:pt>
                <c:pt idx="73">
                  <c:v>848.79</c:v>
                </c:pt>
                <c:pt idx="74">
                  <c:v>835.8</c:v>
                </c:pt>
                <c:pt idx="75">
                  <c:v>812.95</c:v>
                </c:pt>
                <c:pt idx="76">
                  <c:v>871.93</c:v>
                </c:pt>
                <c:pt idx="77">
                  <c:v>886.72</c:v>
                </c:pt>
                <c:pt idx="78">
                  <c:v>901.27</c:v>
                </c:pt>
                <c:pt idx="79">
                  <c:v>893.18</c:v>
                </c:pt>
                <c:pt idx="80">
                  <c:v>837.26</c:v>
                </c:pt>
                <c:pt idx="81">
                  <c:v>843.72</c:v>
                </c:pt>
                <c:pt idx="82">
                  <c:v>865.45</c:v>
                </c:pt>
                <c:pt idx="83">
                  <c:v>926.53</c:v>
                </c:pt>
                <c:pt idx="84">
                  <c:v>972.74</c:v>
                </c:pt>
                <c:pt idx="85">
                  <c:v>880.07</c:v>
                </c:pt>
                <c:pt idx="86">
                  <c:v>884.88</c:v>
                </c:pt>
                <c:pt idx="87">
                  <c:v>948.08</c:v>
                </c:pt>
                <c:pt idx="88">
                  <c:v>939.79</c:v>
                </c:pt>
                <c:pt idx="89">
                  <c:v>961.75</c:v>
                </c:pt>
              </c:numCache>
            </c:numRef>
          </c:val>
          <c:smooth val="0"/>
          <c:extLst>
            <c:ext xmlns:c16="http://schemas.microsoft.com/office/drawing/2014/chart" uri="{C3380CC4-5D6E-409C-BE32-E72D297353CC}">
              <c16:uniqueId val="{00000000-CAD7-4C32-AE23-ACADE90C3EB4}"/>
            </c:ext>
          </c:extLst>
        </c:ser>
        <c:dLbls>
          <c:showLegendKey val="0"/>
          <c:showVal val="0"/>
          <c:showCatName val="0"/>
          <c:showSerName val="0"/>
          <c:showPercent val="0"/>
          <c:showBubbleSize val="0"/>
        </c:dLbls>
        <c:smooth val="0"/>
        <c:axId val="629202480"/>
        <c:axId val="629204776"/>
      </c:lineChart>
      <c:dateAx>
        <c:axId val="629202480"/>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9204776"/>
        <c:crosses val="autoZero"/>
        <c:auto val="1"/>
        <c:lblOffset val="100"/>
        <c:baseTimeUnit val="days"/>
        <c:majorUnit val="3"/>
        <c:majorTimeUnit val="days"/>
      </c:dateAx>
      <c:valAx>
        <c:axId val="629204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9202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114300</xdr:rowOff>
    </xdr:from>
    <xdr:to>
      <xdr:col>8</xdr:col>
      <xdr:colOff>476250</xdr:colOff>
      <xdr:row>26</xdr:row>
      <xdr:rowOff>38100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609600" y="114300"/>
          <a:ext cx="4743450" cy="487680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400">
              <a:solidFill>
                <a:schemeClr val="tx1"/>
              </a:solidFill>
            </a:rPr>
            <a:t>The</a:t>
          </a:r>
          <a:r>
            <a:rPr lang="en-US" sz="1400" baseline="0">
              <a:solidFill>
                <a:schemeClr val="tx1"/>
              </a:solidFill>
            </a:rPr>
            <a:t> purpose of this application is to predict the optimal date to purchase a ticket for a given round-trip flight. </a:t>
          </a:r>
        </a:p>
        <a:p>
          <a:pPr algn="l"/>
          <a:endParaRPr lang="en-US" sz="1400" baseline="0">
            <a:solidFill>
              <a:schemeClr val="tx1"/>
            </a:solidFill>
          </a:endParaRPr>
        </a:p>
        <a:p>
          <a:pPr algn="l"/>
          <a:r>
            <a:rPr lang="en-US" sz="1400" baseline="0">
              <a:solidFill>
                <a:schemeClr val="tx1"/>
              </a:solidFill>
            </a:rPr>
            <a:t>It does so by analyzing the historical prices for a user-given route and then projecting those prices forward for the user's flight, and selecting the day the price is likely to be the cheapest. It also gives the airline and website on which the flight can be found. </a:t>
          </a:r>
        </a:p>
        <a:p>
          <a:pPr algn="l"/>
          <a:endParaRPr lang="en-US" sz="1400" baseline="0">
            <a:solidFill>
              <a:schemeClr val="tx1"/>
            </a:solidFill>
          </a:endParaRPr>
        </a:p>
        <a:p>
          <a:pPr algn="l"/>
          <a:r>
            <a:rPr lang="en-US" sz="1400" baseline="0">
              <a:solidFill>
                <a:schemeClr val="tx1"/>
              </a:solidFill>
            </a:rPr>
            <a:t>To run the model, click on get started below and then enter your departure and destination airport codes, and the desired departure and return dates into the userform. </a:t>
          </a:r>
        </a:p>
        <a:p>
          <a:pPr algn="l"/>
          <a:endParaRPr lang="en-US" sz="1400" baseline="0">
            <a:solidFill>
              <a:schemeClr val="tx1"/>
            </a:solidFill>
          </a:endParaRPr>
        </a:p>
        <a:p>
          <a:pPr algn="l"/>
          <a:r>
            <a:rPr lang="en-US" sz="1400" baseline="0">
              <a:solidFill>
                <a:schemeClr val="tx1"/>
              </a:solidFill>
            </a:rPr>
            <a:t>The application will display the date you should buy your ticket, the estimated price on that day, and generates a graph of prices for the past 90 days.</a:t>
          </a:r>
        </a:p>
      </xdr:txBody>
    </xdr:sp>
    <xdr:clientData/>
  </xdr:twoCellAnchor>
  <mc:AlternateContent xmlns:mc="http://schemas.openxmlformats.org/markup-compatibility/2006">
    <mc:Choice xmlns:a14="http://schemas.microsoft.com/office/drawing/2010/main" Requires="a14">
      <xdr:twoCellAnchor editAs="oneCell">
        <xdr:from>
          <xdr:col>2</xdr:col>
          <xdr:colOff>542925</xdr:colOff>
          <xdr:row>20</xdr:row>
          <xdr:rowOff>114300</xdr:rowOff>
        </xdr:from>
        <xdr:to>
          <xdr:col>6</xdr:col>
          <xdr:colOff>561975</xdr:colOff>
          <xdr:row>24</xdr:row>
          <xdr:rowOff>123825</xdr:rowOff>
        </xdr:to>
        <xdr:sp macro="" textlink="">
          <xdr:nvSpPr>
            <xdr:cNvPr id="3073" name="btnStart"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85725</xdr:colOff>
          <xdr:row>3</xdr:row>
          <xdr:rowOff>95250</xdr:rowOff>
        </xdr:from>
        <xdr:to>
          <xdr:col>11</xdr:col>
          <xdr:colOff>114300</xdr:colOff>
          <xdr:row>6</xdr:row>
          <xdr:rowOff>38100</xdr:rowOff>
        </xdr:to>
        <xdr:sp macro="" textlink="">
          <xdr:nvSpPr>
            <xdr:cNvPr id="1027" name="btnCheapest"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2</xdr:row>
          <xdr:rowOff>85725</xdr:rowOff>
        </xdr:from>
        <xdr:to>
          <xdr:col>12</xdr:col>
          <xdr:colOff>38100</xdr:colOff>
          <xdr:row>7</xdr:row>
          <xdr:rowOff>47625</xdr:rowOff>
        </xdr:to>
        <xdr:sp macro="" textlink="">
          <xdr:nvSpPr>
            <xdr:cNvPr id="1025" name="btnFindFligh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390525</xdr:colOff>
      <xdr:row>11</xdr:row>
      <xdr:rowOff>171450</xdr:rowOff>
    </xdr:from>
    <xdr:to>
      <xdr:col>18</xdr:col>
      <xdr:colOff>390525</xdr:colOff>
      <xdr:row>26</xdr:row>
      <xdr:rowOff>57150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123825</xdr:colOff>
      <xdr:row>5</xdr:row>
      <xdr:rowOff>180974</xdr:rowOff>
    </xdr:from>
    <xdr:to>
      <xdr:col>5</xdr:col>
      <xdr:colOff>9525</xdr:colOff>
      <xdr:row>29</xdr:row>
      <xdr:rowOff>57149</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123825" y="1133474"/>
          <a:ext cx="3171825" cy="4448175"/>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100">
              <a:solidFill>
                <a:schemeClr val="tx1"/>
              </a:solidFill>
            </a:rPr>
            <a:t>This sheet contains</a:t>
          </a:r>
          <a:r>
            <a:rPr lang="en-US" sz="1100" baseline="0">
              <a:solidFill>
                <a:schemeClr val="tx1"/>
              </a:solidFill>
            </a:rPr>
            <a:t> the fake flight data that we generate. </a:t>
          </a:r>
        </a:p>
        <a:p>
          <a:pPr algn="l"/>
          <a:r>
            <a:rPr lang="en-US" sz="1100" baseline="0">
              <a:solidFill>
                <a:schemeClr val="tx1"/>
              </a:solidFill>
            </a:rPr>
            <a:t>It uses the user-given to and from airport codes in order to generate a fake price trend using a function we created and employ in cell K3. </a:t>
          </a:r>
        </a:p>
        <a:p>
          <a:pPr algn="l"/>
          <a:endParaRPr lang="en-US" sz="1100" baseline="0">
            <a:solidFill>
              <a:schemeClr val="tx1"/>
            </a:solidFill>
          </a:endParaRPr>
        </a:p>
        <a:p>
          <a:pPr algn="l"/>
          <a:r>
            <a:rPr lang="en-US" sz="1100" baseline="0">
              <a:solidFill>
                <a:schemeClr val="tx1"/>
              </a:solidFill>
            </a:rPr>
            <a:t>This could be used by a website like travelocity in order to facilitate finding the cheapest flights from different airlines using real historical data. </a:t>
          </a:r>
        </a:p>
        <a:p>
          <a:pPr algn="l"/>
          <a:endParaRPr lang="en-US" sz="1100" baseline="0">
            <a:solidFill>
              <a:schemeClr val="tx1"/>
            </a:solidFill>
          </a:endParaRPr>
        </a:p>
        <a:p>
          <a:pPr algn="l"/>
          <a:r>
            <a:rPr lang="en-US" sz="1100" baseline="0">
              <a:solidFill>
                <a:schemeClr val="tx1"/>
              </a:solidFill>
            </a:rPr>
            <a:t>Being that there are so many different airport codes, we decided to allow fake ones to be entered as well, but it does verify that the code is in the proper format. </a:t>
          </a:r>
        </a:p>
        <a:p>
          <a:pPr algn="l"/>
          <a:endParaRPr lang="en-US" sz="1100" baseline="0">
            <a:solidFill>
              <a:schemeClr val="tx1"/>
            </a:solidFill>
          </a:endParaRPr>
        </a:p>
        <a:p>
          <a:pPr algn="l"/>
          <a:r>
            <a:rPr lang="en-US" sz="1100" baseline="0">
              <a:solidFill>
                <a:schemeClr val="tx1"/>
              </a:solidFill>
            </a:rPr>
            <a:t>The functions attempt to error handle, and additionally, if an improper date format is used, it will attempt to simply flip it to the correct format.</a:t>
          </a:r>
        </a:p>
        <a:p>
          <a:pPr algn="l"/>
          <a:endParaRPr lang="en-US" sz="1100" baseline="0">
            <a:solidFill>
              <a:schemeClr val="tx1"/>
            </a:solidFill>
          </a:endParaRPr>
        </a:p>
        <a:p>
          <a:pPr algn="l"/>
          <a:r>
            <a:rPr lang="en-US" sz="1100" baseline="0">
              <a:solidFill>
                <a:schemeClr val="tx1"/>
              </a:solidFill>
            </a:rPr>
            <a:t>We created three user functions for use in this model.</a:t>
          </a:r>
        </a:p>
        <a:p>
          <a:pPr algn="l"/>
          <a:endParaRPr lang="en-US" sz="1100" baseline="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Description"/>
  <dimension ref="A1"/>
  <sheetViews>
    <sheetView showGridLines="0" showRowColHeaders="0" tabSelected="1" workbookViewId="0">
      <selection activeCell="F10" sqref="F10"/>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3073" r:id="rId3" name="btnStart">
          <controlPr defaultSize="0" autoLine="0" r:id="rId4">
            <anchor moveWithCells="1">
              <from>
                <xdr:col>2</xdr:col>
                <xdr:colOff>542925</xdr:colOff>
                <xdr:row>20</xdr:row>
                <xdr:rowOff>114300</xdr:rowOff>
              </from>
              <to>
                <xdr:col>6</xdr:col>
                <xdr:colOff>561975</xdr:colOff>
                <xdr:row>24</xdr:row>
                <xdr:rowOff>123825</xdr:rowOff>
              </to>
            </anchor>
          </controlPr>
        </control>
      </mc:Choice>
      <mc:Fallback>
        <control shapeId="3073" r:id="rId3" name="btnStar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FlightStart"/>
  <dimension ref="I10:N51"/>
  <sheetViews>
    <sheetView showGridLines="0" showRowColHeaders="0" topLeftCell="B1" workbookViewId="0">
      <selection activeCell="K4" sqref="K4"/>
    </sheetView>
  </sheetViews>
  <sheetFormatPr defaultRowHeight="15" x14ac:dyDescent="0.25"/>
  <cols>
    <col min="9" max="9" width="16" customWidth="1"/>
    <col min="10" max="10" width="11" customWidth="1"/>
    <col min="11" max="11" width="15.42578125" bestFit="1" customWidth="1"/>
    <col min="12" max="12" width="9.7109375" bestFit="1" customWidth="1"/>
    <col min="14" max="14" width="9.140625" customWidth="1"/>
  </cols>
  <sheetData>
    <row r="10" spans="9:14" x14ac:dyDescent="0.25">
      <c r="I10" s="8" t="s">
        <v>16</v>
      </c>
      <c r="J10" s="8" t="s">
        <v>17</v>
      </c>
      <c r="K10" s="8" t="s">
        <v>15</v>
      </c>
      <c r="L10" s="8" t="s">
        <v>13</v>
      </c>
      <c r="M10" s="8"/>
      <c r="N10" s="8"/>
    </row>
    <row r="11" spans="9:14" x14ac:dyDescent="0.25">
      <c r="I11" s="9" t="str">
        <f ca="1">INDEX(FlightInfo!G3:G92,MATCH(price,FlightInfo!K3:K92,0))</f>
        <v>booking.com</v>
      </c>
      <c r="J11" s="9" t="str">
        <f ca="1">INDEX(FlightInfo!H3:H92,MATCH(price,FlightInfo!K3:K92,0))</f>
        <v>American</v>
      </c>
      <c r="K11" s="10">
        <v>679.09</v>
      </c>
      <c r="L11" s="11">
        <f>user_depart-numdays</f>
        <v>42852</v>
      </c>
      <c r="M11" s="11"/>
      <c r="N11" s="11"/>
    </row>
    <row r="13" spans="9:14" x14ac:dyDescent="0.25">
      <c r="L13" s="2"/>
    </row>
    <row r="50" spans="12:12" x14ac:dyDescent="0.25">
      <c r="L50" t="s">
        <v>14</v>
      </c>
    </row>
    <row r="51" spans="12:12" x14ac:dyDescent="0.25">
      <c r="L51">
        <f>INDEX(FlightInfo!F3:F92,MATCH(price,FlightInfo!K3:K92,0))</f>
        <v>8</v>
      </c>
    </row>
  </sheetData>
  <mergeCells count="1">
    <mergeCell ref="L11:N11"/>
  </mergeCells>
  <pageMargins left="0.7" right="0.7" top="0.75" bottom="0.75" header="0.3" footer="0.3"/>
  <drawing r:id="rId1"/>
  <legacyDrawing r:id="rId2"/>
  <controls>
    <mc:AlternateContent xmlns:mc="http://schemas.openxmlformats.org/markup-compatibility/2006">
      <mc:Choice Requires="x14">
        <control shapeId="1027" r:id="rId3" name="btnCheapest">
          <controlPr defaultSize="0" autoLine="0" r:id="rId4">
            <anchor moveWithCells="1">
              <from>
                <xdr:col>10</xdr:col>
                <xdr:colOff>85725</xdr:colOff>
                <xdr:row>3</xdr:row>
                <xdr:rowOff>95250</xdr:rowOff>
              </from>
              <to>
                <xdr:col>11</xdr:col>
                <xdr:colOff>114300</xdr:colOff>
                <xdr:row>6</xdr:row>
                <xdr:rowOff>38100</xdr:rowOff>
              </to>
            </anchor>
          </controlPr>
        </control>
      </mc:Choice>
      <mc:Fallback>
        <control shapeId="1027" r:id="rId3" name="btnCheapest"/>
      </mc:Fallback>
    </mc:AlternateContent>
    <mc:AlternateContent xmlns:mc="http://schemas.openxmlformats.org/markup-compatibility/2006">
      <mc:Choice Requires="x14">
        <control shapeId="1025" r:id="rId5" name="btnFindFlight">
          <controlPr defaultSize="0" autoLine="0" r:id="rId6">
            <anchor moveWithCells="1">
              <from>
                <xdr:col>9</xdr:col>
                <xdr:colOff>85725</xdr:colOff>
                <xdr:row>2</xdr:row>
                <xdr:rowOff>85725</xdr:rowOff>
              </from>
              <to>
                <xdr:col>12</xdr:col>
                <xdr:colOff>38100</xdr:colOff>
                <xdr:row>7</xdr:row>
                <xdr:rowOff>47625</xdr:rowOff>
              </to>
            </anchor>
          </controlPr>
        </control>
      </mc:Choice>
      <mc:Fallback>
        <control shapeId="1025" r:id="rId5" name="btnFindFligh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FlightInfo"/>
  <dimension ref="A1:R92"/>
  <sheetViews>
    <sheetView showGridLines="0" showRowColHeaders="0" workbookViewId="0">
      <selection activeCell="N22" sqref="N22"/>
    </sheetView>
  </sheetViews>
  <sheetFormatPr defaultRowHeight="15" x14ac:dyDescent="0.25"/>
  <cols>
    <col min="1" max="1" width="12.140625" bestFit="1" customWidth="1"/>
    <col min="2" max="2" width="10.7109375" bestFit="1" customWidth="1"/>
    <col min="7" max="7" width="29.140625" bestFit="1" customWidth="1"/>
    <col min="9" max="10" width="11.5703125" bestFit="1" customWidth="1"/>
    <col min="17" max="17" width="17.42578125" bestFit="1" customWidth="1"/>
  </cols>
  <sheetData>
    <row r="1" spans="1:18" x14ac:dyDescent="0.25">
      <c r="A1" s="1" t="s">
        <v>6</v>
      </c>
      <c r="G1" t="s">
        <v>7</v>
      </c>
    </row>
    <row r="2" spans="1:18" x14ac:dyDescent="0.25">
      <c r="A2" t="s">
        <v>2</v>
      </c>
      <c r="B2" t="s">
        <v>18</v>
      </c>
      <c r="G2" t="s">
        <v>8</v>
      </c>
      <c r="H2" t="s">
        <v>1</v>
      </c>
      <c r="I2" t="s">
        <v>9</v>
      </c>
      <c r="J2" t="s">
        <v>10</v>
      </c>
      <c r="K2" t="s">
        <v>0</v>
      </c>
    </row>
    <row r="3" spans="1:18" x14ac:dyDescent="0.25">
      <c r="A3" t="s">
        <v>3</v>
      </c>
      <c r="B3" t="s">
        <v>18</v>
      </c>
      <c r="F3">
        <v>1</v>
      </c>
      <c r="G3" s="3" t="str">
        <f ca="1">CHOOSE(RANDBETWEEN(1,4),"google flights","Kayak.com","booking.com","cheap-flights.org")</f>
        <v>cheap-flights.org</v>
      </c>
      <c r="H3" t="str">
        <f ca="1">CHOOSE(RANDBETWEEN(1,4),"United","American","Southwest","Allegiant")</f>
        <v>Southwest</v>
      </c>
      <c r="I3" s="2">
        <f>user_depart-90</f>
        <v>42770</v>
      </c>
      <c r="J3" s="2">
        <f>user_return-90</f>
        <v>42771</v>
      </c>
      <c r="K3">
        <f>(genID(user_to)+(genID(user_from))*(LOG(genID(user_from),2)-8))</f>
        <v>738.9862982162075</v>
      </c>
      <c r="Q3" s="4" t="s">
        <v>11</v>
      </c>
      <c r="R3" s="5">
        <v>0</v>
      </c>
    </row>
    <row r="4" spans="1:18" x14ac:dyDescent="0.25">
      <c r="A4" t="s">
        <v>4</v>
      </c>
      <c r="B4" s="2">
        <v>42860</v>
      </c>
      <c r="F4">
        <v>2</v>
      </c>
      <c r="G4" s="3" t="str">
        <f t="shared" ref="G4:G67" ca="1" si="0">CHOOSE(RANDBETWEEN(1,4),"google flights","Kayak.com","booking.com","cheap-flights.org")</f>
        <v>booking.com</v>
      </c>
      <c r="H4" t="str">
        <f t="shared" ref="H4:H67" ca="1" si="1">CHOOSE(RANDBETWEEN(1,4),"United","American","Southwest","Allegiant")</f>
        <v>Southwest</v>
      </c>
      <c r="I4" s="2">
        <f>I$3+$F4</f>
        <v>42772</v>
      </c>
      <c r="J4" s="2">
        <f>J$3+$F4</f>
        <v>42773</v>
      </c>
      <c r="K4">
        <v>759.23</v>
      </c>
      <c r="Q4" s="6" t="s">
        <v>12</v>
      </c>
      <c r="R4" s="7">
        <v>0.05</v>
      </c>
    </row>
    <row r="5" spans="1:18" x14ac:dyDescent="0.25">
      <c r="A5" t="s">
        <v>5</v>
      </c>
      <c r="B5" s="2">
        <v>42861</v>
      </c>
      <c r="F5">
        <v>3</v>
      </c>
      <c r="G5" s="3" t="str">
        <f t="shared" ca="1" si="0"/>
        <v>google flights</v>
      </c>
      <c r="H5" t="str">
        <f t="shared" ca="1" si="1"/>
        <v>United</v>
      </c>
      <c r="I5" s="2">
        <f t="shared" ref="I5:I68" si="2">I$3+F5</f>
        <v>42773</v>
      </c>
      <c r="J5" s="2">
        <f t="shared" ref="J5:J68" si="3">J$3+$F5</f>
        <v>42774</v>
      </c>
      <c r="K5">
        <v>762.42</v>
      </c>
    </row>
    <row r="6" spans="1:18" x14ac:dyDescent="0.25">
      <c r="F6">
        <v>4</v>
      </c>
      <c r="G6" s="3" t="str">
        <f t="shared" ca="1" si="0"/>
        <v>booking.com</v>
      </c>
      <c r="H6" t="str">
        <f t="shared" ca="1" si="1"/>
        <v>American</v>
      </c>
      <c r="I6" s="2">
        <f t="shared" si="2"/>
        <v>42774</v>
      </c>
      <c r="J6" s="2">
        <f t="shared" si="3"/>
        <v>42775</v>
      </c>
      <c r="K6">
        <v>770.11</v>
      </c>
    </row>
    <row r="7" spans="1:18" x14ac:dyDescent="0.25">
      <c r="F7">
        <v>5</v>
      </c>
      <c r="G7" s="3" t="str">
        <f t="shared" ca="1" si="0"/>
        <v>booking.com</v>
      </c>
      <c r="H7" t="str">
        <f t="shared" ca="1" si="1"/>
        <v>United</v>
      </c>
      <c r="I7" s="2">
        <f t="shared" si="2"/>
        <v>42775</v>
      </c>
      <c r="J7" s="2">
        <f t="shared" si="3"/>
        <v>42776</v>
      </c>
      <c r="K7">
        <v>749.05</v>
      </c>
    </row>
    <row r="8" spans="1:18" x14ac:dyDescent="0.25">
      <c r="F8">
        <v>6</v>
      </c>
      <c r="G8" s="3" t="str">
        <f t="shared" ca="1" si="0"/>
        <v>google flights</v>
      </c>
      <c r="H8" t="str">
        <f t="shared" ca="1" si="1"/>
        <v>Southwest</v>
      </c>
      <c r="I8" s="2">
        <f t="shared" si="2"/>
        <v>42776</v>
      </c>
      <c r="J8" s="2">
        <f t="shared" si="3"/>
        <v>42777</v>
      </c>
      <c r="K8">
        <v>729.87</v>
      </c>
    </row>
    <row r="9" spans="1:18" x14ac:dyDescent="0.25">
      <c r="F9">
        <v>7</v>
      </c>
      <c r="G9" s="3" t="str">
        <f t="shared" ca="1" si="0"/>
        <v>booking.com</v>
      </c>
      <c r="H9" t="str">
        <f t="shared" ca="1" si="1"/>
        <v>Southwest</v>
      </c>
      <c r="I9" s="2">
        <f t="shared" si="2"/>
        <v>42777</v>
      </c>
      <c r="J9" s="2">
        <f t="shared" si="3"/>
        <v>42778</v>
      </c>
      <c r="K9">
        <v>757.93</v>
      </c>
    </row>
    <row r="10" spans="1:18" x14ac:dyDescent="0.25">
      <c r="F10">
        <v>8</v>
      </c>
      <c r="G10" s="3" t="str">
        <f t="shared" ca="1" si="0"/>
        <v>booking.com</v>
      </c>
      <c r="H10" t="str">
        <f t="shared" ca="1" si="1"/>
        <v>American</v>
      </c>
      <c r="I10" s="2">
        <f t="shared" si="2"/>
        <v>42778</v>
      </c>
      <c r="J10" s="2">
        <f t="shared" si="3"/>
        <v>42779</v>
      </c>
      <c r="K10">
        <v>679.09</v>
      </c>
    </row>
    <row r="11" spans="1:18" x14ac:dyDescent="0.25">
      <c r="F11">
        <v>9</v>
      </c>
      <c r="G11" s="3" t="str">
        <f t="shared" ca="1" si="0"/>
        <v>Kayak.com</v>
      </c>
      <c r="H11" t="str">
        <f t="shared" ca="1" si="1"/>
        <v>Southwest</v>
      </c>
      <c r="I11" s="2">
        <f t="shared" si="2"/>
        <v>42779</v>
      </c>
      <c r="J11" s="2">
        <f t="shared" si="3"/>
        <v>42780</v>
      </c>
      <c r="K11">
        <v>703.58</v>
      </c>
    </row>
    <row r="12" spans="1:18" x14ac:dyDescent="0.25">
      <c r="F12">
        <v>10</v>
      </c>
      <c r="G12" s="3" t="str">
        <f t="shared" ca="1" si="0"/>
        <v>booking.com</v>
      </c>
      <c r="H12" t="str">
        <f t="shared" ca="1" si="1"/>
        <v>Allegiant</v>
      </c>
      <c r="I12" s="2">
        <f t="shared" si="2"/>
        <v>42780</v>
      </c>
      <c r="J12" s="2">
        <f t="shared" si="3"/>
        <v>42781</v>
      </c>
      <c r="K12">
        <v>735.76</v>
      </c>
    </row>
    <row r="13" spans="1:18" x14ac:dyDescent="0.25">
      <c r="F13">
        <v>11</v>
      </c>
      <c r="G13" s="3" t="str">
        <f t="shared" ca="1" si="0"/>
        <v>cheap-flights.org</v>
      </c>
      <c r="H13" t="str">
        <f t="shared" ca="1" si="1"/>
        <v>American</v>
      </c>
      <c r="I13" s="2">
        <f t="shared" si="2"/>
        <v>42781</v>
      </c>
      <c r="J13" s="2">
        <f t="shared" si="3"/>
        <v>42782</v>
      </c>
      <c r="K13">
        <v>756.3</v>
      </c>
    </row>
    <row r="14" spans="1:18" x14ac:dyDescent="0.25">
      <c r="F14">
        <v>12</v>
      </c>
      <c r="G14" s="3" t="str">
        <f t="shared" ca="1" si="0"/>
        <v>google flights</v>
      </c>
      <c r="H14" t="str">
        <f t="shared" ca="1" si="1"/>
        <v>United</v>
      </c>
      <c r="I14" s="2">
        <f t="shared" si="2"/>
        <v>42782</v>
      </c>
      <c r="J14" s="2">
        <f t="shared" si="3"/>
        <v>42783</v>
      </c>
      <c r="K14">
        <v>694.96</v>
      </c>
    </row>
    <row r="15" spans="1:18" x14ac:dyDescent="0.25">
      <c r="F15">
        <v>13</v>
      </c>
      <c r="G15" s="3" t="str">
        <f t="shared" ca="1" si="0"/>
        <v>google flights</v>
      </c>
      <c r="H15" t="str">
        <f t="shared" ca="1" si="1"/>
        <v>Southwest</v>
      </c>
      <c r="I15" s="2">
        <f t="shared" si="2"/>
        <v>42783</v>
      </c>
      <c r="J15" s="2">
        <f t="shared" si="3"/>
        <v>42784</v>
      </c>
      <c r="K15">
        <v>687.45</v>
      </c>
    </row>
    <row r="16" spans="1:18" x14ac:dyDescent="0.25">
      <c r="F16">
        <v>14</v>
      </c>
      <c r="G16" s="3" t="str">
        <f t="shared" ca="1" si="0"/>
        <v>Kayak.com</v>
      </c>
      <c r="H16" t="str">
        <f t="shared" ca="1" si="1"/>
        <v>Allegiant</v>
      </c>
      <c r="I16" s="2">
        <f t="shared" si="2"/>
        <v>42784</v>
      </c>
      <c r="J16" s="2">
        <f t="shared" si="3"/>
        <v>42785</v>
      </c>
      <c r="K16">
        <v>726.03</v>
      </c>
    </row>
    <row r="17" spans="6:11" x14ac:dyDescent="0.25">
      <c r="F17">
        <v>15</v>
      </c>
      <c r="G17" s="3" t="str">
        <f t="shared" ca="1" si="0"/>
        <v>booking.com</v>
      </c>
      <c r="H17" t="str">
        <f t="shared" ca="1" si="1"/>
        <v>United</v>
      </c>
      <c r="I17" s="2">
        <f t="shared" si="2"/>
        <v>42785</v>
      </c>
      <c r="J17" s="2">
        <f t="shared" si="3"/>
        <v>42786</v>
      </c>
      <c r="K17">
        <v>755.97</v>
      </c>
    </row>
    <row r="18" spans="6:11" x14ac:dyDescent="0.25">
      <c r="F18">
        <v>16</v>
      </c>
      <c r="G18" s="3" t="str">
        <f t="shared" ca="1" si="0"/>
        <v>booking.com</v>
      </c>
      <c r="H18" t="str">
        <f t="shared" ca="1" si="1"/>
        <v>American</v>
      </c>
      <c r="I18" s="2">
        <f t="shared" si="2"/>
        <v>42786</v>
      </c>
      <c r="J18" s="2">
        <f t="shared" si="3"/>
        <v>42787</v>
      </c>
      <c r="K18">
        <v>743.88</v>
      </c>
    </row>
    <row r="19" spans="6:11" x14ac:dyDescent="0.25">
      <c r="F19">
        <v>17</v>
      </c>
      <c r="G19" s="3" t="str">
        <f t="shared" ca="1" si="0"/>
        <v>Kayak.com</v>
      </c>
      <c r="H19" t="str">
        <f t="shared" ca="1" si="1"/>
        <v>Southwest</v>
      </c>
      <c r="I19" s="2">
        <f t="shared" si="2"/>
        <v>42787</v>
      </c>
      <c r="J19" s="2">
        <f t="shared" si="3"/>
        <v>42788</v>
      </c>
      <c r="K19">
        <v>812.87</v>
      </c>
    </row>
    <row r="20" spans="6:11" x14ac:dyDescent="0.25">
      <c r="F20">
        <v>18</v>
      </c>
      <c r="G20" s="3" t="str">
        <f t="shared" ca="1" si="0"/>
        <v>google flights</v>
      </c>
      <c r="H20" t="str">
        <f t="shared" ca="1" si="1"/>
        <v>American</v>
      </c>
      <c r="I20" s="2">
        <f t="shared" si="2"/>
        <v>42788</v>
      </c>
      <c r="J20" s="2">
        <f t="shared" si="3"/>
        <v>42789</v>
      </c>
      <c r="K20">
        <v>860.26</v>
      </c>
    </row>
    <row r="21" spans="6:11" x14ac:dyDescent="0.25">
      <c r="F21">
        <v>19</v>
      </c>
      <c r="G21" s="3" t="str">
        <f t="shared" ca="1" si="0"/>
        <v>google flights</v>
      </c>
      <c r="H21" t="str">
        <f t="shared" ca="1" si="1"/>
        <v>American</v>
      </c>
      <c r="I21" s="2">
        <f t="shared" si="2"/>
        <v>42789</v>
      </c>
      <c r="J21" s="2">
        <f t="shared" si="3"/>
        <v>42790</v>
      </c>
      <c r="K21">
        <v>794.63</v>
      </c>
    </row>
    <row r="22" spans="6:11" x14ac:dyDescent="0.25">
      <c r="F22">
        <v>20</v>
      </c>
      <c r="G22" s="3" t="str">
        <f t="shared" ca="1" si="0"/>
        <v>google flights</v>
      </c>
      <c r="H22" t="str">
        <f t="shared" ca="1" si="1"/>
        <v>United</v>
      </c>
      <c r="I22" s="2">
        <f t="shared" si="2"/>
        <v>42790</v>
      </c>
      <c r="J22" s="2">
        <f t="shared" si="3"/>
        <v>42791</v>
      </c>
      <c r="K22">
        <v>862.56</v>
      </c>
    </row>
    <row r="23" spans="6:11" x14ac:dyDescent="0.25">
      <c r="F23">
        <v>21</v>
      </c>
      <c r="G23" s="3" t="str">
        <f t="shared" ca="1" si="0"/>
        <v>cheap-flights.org</v>
      </c>
      <c r="H23" t="str">
        <f t="shared" ca="1" si="1"/>
        <v>Allegiant</v>
      </c>
      <c r="I23" s="2">
        <f t="shared" si="2"/>
        <v>42791</v>
      </c>
      <c r="J23" s="2">
        <f t="shared" si="3"/>
        <v>42792</v>
      </c>
      <c r="K23">
        <v>847.69</v>
      </c>
    </row>
    <row r="24" spans="6:11" x14ac:dyDescent="0.25">
      <c r="F24">
        <v>22</v>
      </c>
      <c r="G24" s="3" t="str">
        <f t="shared" ca="1" si="0"/>
        <v>Kayak.com</v>
      </c>
      <c r="H24" t="str">
        <f t="shared" ca="1" si="1"/>
        <v>American</v>
      </c>
      <c r="I24" s="2">
        <f t="shared" si="2"/>
        <v>42792</v>
      </c>
      <c r="J24" s="2">
        <f t="shared" si="3"/>
        <v>42793</v>
      </c>
      <c r="K24">
        <v>850.34</v>
      </c>
    </row>
    <row r="25" spans="6:11" x14ac:dyDescent="0.25">
      <c r="F25">
        <v>23</v>
      </c>
      <c r="G25" s="3" t="str">
        <f t="shared" ca="1" si="0"/>
        <v>google flights</v>
      </c>
      <c r="H25" t="str">
        <f t="shared" ca="1" si="1"/>
        <v>Southwest</v>
      </c>
      <c r="I25" s="2">
        <f t="shared" si="2"/>
        <v>42793</v>
      </c>
      <c r="J25" s="2">
        <f t="shared" si="3"/>
        <v>42794</v>
      </c>
      <c r="K25">
        <v>881.92</v>
      </c>
    </row>
    <row r="26" spans="6:11" x14ac:dyDescent="0.25">
      <c r="F26">
        <v>24</v>
      </c>
      <c r="G26" s="3" t="str">
        <f t="shared" ca="1" si="0"/>
        <v>booking.com</v>
      </c>
      <c r="H26" t="str">
        <f t="shared" ca="1" si="1"/>
        <v>Allegiant</v>
      </c>
      <c r="I26" s="2">
        <f t="shared" si="2"/>
        <v>42794</v>
      </c>
      <c r="J26" s="2">
        <f t="shared" si="3"/>
        <v>42795</v>
      </c>
      <c r="K26">
        <v>813.64</v>
      </c>
    </row>
    <row r="27" spans="6:11" x14ac:dyDescent="0.25">
      <c r="F27">
        <v>25</v>
      </c>
      <c r="G27" s="3" t="str">
        <f t="shared" ca="1" si="0"/>
        <v>Kayak.com</v>
      </c>
      <c r="H27" t="str">
        <f t="shared" ca="1" si="1"/>
        <v>Southwest</v>
      </c>
      <c r="I27" s="2">
        <f t="shared" si="2"/>
        <v>42795</v>
      </c>
      <c r="J27" s="2">
        <f t="shared" si="3"/>
        <v>42796</v>
      </c>
      <c r="K27">
        <v>823.21</v>
      </c>
    </row>
    <row r="28" spans="6:11" x14ac:dyDescent="0.25">
      <c r="F28">
        <v>26</v>
      </c>
      <c r="G28" s="3" t="str">
        <f t="shared" ca="1" si="0"/>
        <v>cheap-flights.org</v>
      </c>
      <c r="H28" t="str">
        <f t="shared" ca="1" si="1"/>
        <v>Allegiant</v>
      </c>
      <c r="I28" s="2">
        <f t="shared" si="2"/>
        <v>42796</v>
      </c>
      <c r="J28" s="2">
        <f t="shared" si="3"/>
        <v>42797</v>
      </c>
      <c r="K28">
        <v>819.98</v>
      </c>
    </row>
    <row r="29" spans="6:11" x14ac:dyDescent="0.25">
      <c r="F29">
        <v>27</v>
      </c>
      <c r="G29" s="3" t="str">
        <f t="shared" ca="1" si="0"/>
        <v>google flights</v>
      </c>
      <c r="H29" t="str">
        <f t="shared" ca="1" si="1"/>
        <v>United</v>
      </c>
      <c r="I29" s="2">
        <f t="shared" si="2"/>
        <v>42797</v>
      </c>
      <c r="J29" s="2">
        <f t="shared" si="3"/>
        <v>42798</v>
      </c>
      <c r="K29">
        <v>798.55</v>
      </c>
    </row>
    <row r="30" spans="6:11" x14ac:dyDescent="0.25">
      <c r="F30">
        <v>28</v>
      </c>
      <c r="G30" s="3" t="str">
        <f t="shared" ca="1" si="0"/>
        <v>booking.com</v>
      </c>
      <c r="H30" t="str">
        <f t="shared" ca="1" si="1"/>
        <v>Allegiant</v>
      </c>
      <c r="I30" s="2">
        <f t="shared" si="2"/>
        <v>42798</v>
      </c>
      <c r="J30" s="2">
        <f t="shared" si="3"/>
        <v>42799</v>
      </c>
      <c r="K30">
        <v>811.13</v>
      </c>
    </row>
    <row r="31" spans="6:11" x14ac:dyDescent="0.25">
      <c r="F31">
        <v>29</v>
      </c>
      <c r="G31" s="3" t="str">
        <f t="shared" ca="1" si="0"/>
        <v>booking.com</v>
      </c>
      <c r="H31" t="str">
        <f t="shared" ca="1" si="1"/>
        <v>Allegiant</v>
      </c>
      <c r="I31" s="2">
        <f t="shared" si="2"/>
        <v>42799</v>
      </c>
      <c r="J31" s="2">
        <f t="shared" si="3"/>
        <v>42800</v>
      </c>
      <c r="K31">
        <v>826.67</v>
      </c>
    </row>
    <row r="32" spans="6:11" x14ac:dyDescent="0.25">
      <c r="F32">
        <v>30</v>
      </c>
      <c r="G32" s="3" t="str">
        <f t="shared" ca="1" si="0"/>
        <v>cheap-flights.org</v>
      </c>
      <c r="H32" t="str">
        <f t="shared" ca="1" si="1"/>
        <v>Southwest</v>
      </c>
      <c r="I32" s="2">
        <f t="shared" si="2"/>
        <v>42800</v>
      </c>
      <c r="J32" s="2">
        <f t="shared" si="3"/>
        <v>42801</v>
      </c>
      <c r="K32">
        <v>800.97</v>
      </c>
    </row>
    <row r="33" spans="6:11" x14ac:dyDescent="0.25">
      <c r="F33">
        <v>31</v>
      </c>
      <c r="G33" s="3" t="str">
        <f t="shared" ca="1" si="0"/>
        <v>booking.com</v>
      </c>
      <c r="H33" t="str">
        <f t="shared" ca="1" si="1"/>
        <v>Southwest</v>
      </c>
      <c r="I33" s="2">
        <f t="shared" si="2"/>
        <v>42801</v>
      </c>
      <c r="J33" s="2">
        <f t="shared" si="3"/>
        <v>42802</v>
      </c>
      <c r="K33">
        <v>777.89</v>
      </c>
    </row>
    <row r="34" spans="6:11" x14ac:dyDescent="0.25">
      <c r="F34">
        <v>32</v>
      </c>
      <c r="G34" s="3" t="str">
        <f t="shared" ca="1" si="0"/>
        <v>booking.com</v>
      </c>
      <c r="H34" t="str">
        <f t="shared" ca="1" si="1"/>
        <v>United</v>
      </c>
      <c r="I34" s="2">
        <f t="shared" si="2"/>
        <v>42802</v>
      </c>
      <c r="J34" s="2">
        <f t="shared" si="3"/>
        <v>42803</v>
      </c>
      <c r="K34">
        <v>815.87</v>
      </c>
    </row>
    <row r="35" spans="6:11" x14ac:dyDescent="0.25">
      <c r="F35">
        <v>33</v>
      </c>
      <c r="G35" s="3" t="str">
        <f t="shared" ca="1" si="0"/>
        <v>booking.com</v>
      </c>
      <c r="H35" t="str">
        <f t="shared" ca="1" si="1"/>
        <v>Allegiant</v>
      </c>
      <c r="I35" s="2">
        <f t="shared" si="2"/>
        <v>42803</v>
      </c>
      <c r="J35" s="2">
        <f t="shared" si="3"/>
        <v>42804</v>
      </c>
      <c r="K35">
        <v>854.83</v>
      </c>
    </row>
    <row r="36" spans="6:11" x14ac:dyDescent="0.25">
      <c r="F36">
        <v>34</v>
      </c>
      <c r="G36" s="3" t="str">
        <f t="shared" ca="1" si="0"/>
        <v>cheap-flights.org</v>
      </c>
      <c r="H36" t="str">
        <f t="shared" ca="1" si="1"/>
        <v>Allegiant</v>
      </c>
      <c r="I36" s="2">
        <f t="shared" si="2"/>
        <v>42804</v>
      </c>
      <c r="J36" s="2">
        <f t="shared" si="3"/>
        <v>42805</v>
      </c>
      <c r="K36">
        <v>864.52</v>
      </c>
    </row>
    <row r="37" spans="6:11" x14ac:dyDescent="0.25">
      <c r="F37">
        <v>35</v>
      </c>
      <c r="G37" s="3" t="str">
        <f t="shared" ca="1" si="0"/>
        <v>booking.com</v>
      </c>
      <c r="H37" t="str">
        <f t="shared" ca="1" si="1"/>
        <v>Allegiant</v>
      </c>
      <c r="I37" s="2">
        <f t="shared" si="2"/>
        <v>42805</v>
      </c>
      <c r="J37" s="2">
        <f t="shared" si="3"/>
        <v>42806</v>
      </c>
      <c r="K37">
        <v>965.04</v>
      </c>
    </row>
    <row r="38" spans="6:11" x14ac:dyDescent="0.25">
      <c r="F38">
        <v>36</v>
      </c>
      <c r="G38" s="3" t="str">
        <f t="shared" ca="1" si="0"/>
        <v>cheap-flights.org</v>
      </c>
      <c r="H38" t="str">
        <f t="shared" ca="1" si="1"/>
        <v>United</v>
      </c>
      <c r="I38" s="2">
        <f t="shared" si="2"/>
        <v>42806</v>
      </c>
      <c r="J38" s="2">
        <f t="shared" si="3"/>
        <v>42807</v>
      </c>
      <c r="K38">
        <v>1032.26</v>
      </c>
    </row>
    <row r="39" spans="6:11" x14ac:dyDescent="0.25">
      <c r="F39">
        <v>37</v>
      </c>
      <c r="G39" s="3" t="str">
        <f t="shared" ca="1" si="0"/>
        <v>google flights</v>
      </c>
      <c r="H39" t="str">
        <f t="shared" ca="1" si="1"/>
        <v>Allegiant</v>
      </c>
      <c r="I39" s="2">
        <f t="shared" si="2"/>
        <v>42807</v>
      </c>
      <c r="J39" s="2">
        <f t="shared" si="3"/>
        <v>42808</v>
      </c>
      <c r="K39">
        <v>994.31</v>
      </c>
    </row>
    <row r="40" spans="6:11" x14ac:dyDescent="0.25">
      <c r="F40">
        <v>38</v>
      </c>
      <c r="G40" s="3" t="str">
        <f t="shared" ca="1" si="0"/>
        <v>google flights</v>
      </c>
      <c r="H40" t="str">
        <f t="shared" ca="1" si="1"/>
        <v>Allegiant</v>
      </c>
      <c r="I40" s="2">
        <f t="shared" si="2"/>
        <v>42808</v>
      </c>
      <c r="J40" s="2">
        <f t="shared" si="3"/>
        <v>42809</v>
      </c>
      <c r="K40">
        <v>1020.01</v>
      </c>
    </row>
    <row r="41" spans="6:11" x14ac:dyDescent="0.25">
      <c r="F41">
        <v>39</v>
      </c>
      <c r="G41" s="3" t="str">
        <f t="shared" ca="1" si="0"/>
        <v>cheap-flights.org</v>
      </c>
      <c r="H41" t="str">
        <f t="shared" ca="1" si="1"/>
        <v>Allegiant</v>
      </c>
      <c r="I41" s="2">
        <f t="shared" si="2"/>
        <v>42809</v>
      </c>
      <c r="J41" s="2">
        <f t="shared" si="3"/>
        <v>42810</v>
      </c>
      <c r="K41">
        <v>1130.32</v>
      </c>
    </row>
    <row r="42" spans="6:11" x14ac:dyDescent="0.25">
      <c r="F42">
        <v>40</v>
      </c>
      <c r="G42" s="3" t="str">
        <f t="shared" ca="1" si="0"/>
        <v>cheap-flights.org</v>
      </c>
      <c r="H42" t="str">
        <f t="shared" ca="1" si="1"/>
        <v>United</v>
      </c>
      <c r="I42" s="2">
        <f t="shared" si="2"/>
        <v>42810</v>
      </c>
      <c r="J42" s="2">
        <f t="shared" si="3"/>
        <v>42811</v>
      </c>
      <c r="K42">
        <v>1091.79</v>
      </c>
    </row>
    <row r="43" spans="6:11" x14ac:dyDescent="0.25">
      <c r="F43">
        <v>41</v>
      </c>
      <c r="G43" s="3" t="str">
        <f t="shared" ca="1" si="0"/>
        <v>Kayak.com</v>
      </c>
      <c r="H43" t="str">
        <f t="shared" ca="1" si="1"/>
        <v>Allegiant</v>
      </c>
      <c r="I43" s="2">
        <f t="shared" si="2"/>
        <v>42811</v>
      </c>
      <c r="J43" s="2">
        <f t="shared" si="3"/>
        <v>42812</v>
      </c>
      <c r="K43">
        <v>1096.44</v>
      </c>
    </row>
    <row r="44" spans="6:11" x14ac:dyDescent="0.25">
      <c r="F44">
        <v>42</v>
      </c>
      <c r="G44" s="3" t="str">
        <f t="shared" ca="1" si="0"/>
        <v>Kayak.com</v>
      </c>
      <c r="H44" t="str">
        <f t="shared" ca="1" si="1"/>
        <v>Southwest</v>
      </c>
      <c r="I44" s="2">
        <f t="shared" si="2"/>
        <v>42812</v>
      </c>
      <c r="J44" s="2">
        <f t="shared" si="3"/>
        <v>42813</v>
      </c>
      <c r="K44">
        <v>1030.21</v>
      </c>
    </row>
    <row r="45" spans="6:11" x14ac:dyDescent="0.25">
      <c r="F45">
        <v>43</v>
      </c>
      <c r="G45" s="3" t="str">
        <f t="shared" ca="1" si="0"/>
        <v>booking.com</v>
      </c>
      <c r="H45" t="str">
        <f t="shared" ca="1" si="1"/>
        <v>Southwest</v>
      </c>
      <c r="I45" s="2">
        <f t="shared" si="2"/>
        <v>42813</v>
      </c>
      <c r="J45" s="2">
        <f t="shared" si="3"/>
        <v>42814</v>
      </c>
      <c r="K45">
        <v>1211.74</v>
      </c>
    </row>
    <row r="46" spans="6:11" x14ac:dyDescent="0.25">
      <c r="F46">
        <v>44</v>
      </c>
      <c r="G46" s="3" t="str">
        <f t="shared" ca="1" si="0"/>
        <v>Kayak.com</v>
      </c>
      <c r="H46" t="str">
        <f t="shared" ca="1" si="1"/>
        <v>United</v>
      </c>
      <c r="I46" s="2">
        <f t="shared" si="2"/>
        <v>42814</v>
      </c>
      <c r="J46" s="2">
        <f t="shared" si="3"/>
        <v>42815</v>
      </c>
      <c r="K46">
        <v>1239.75</v>
      </c>
    </row>
    <row r="47" spans="6:11" x14ac:dyDescent="0.25">
      <c r="F47">
        <v>45</v>
      </c>
      <c r="G47" s="3" t="str">
        <f t="shared" ca="1" si="0"/>
        <v>cheap-flights.org</v>
      </c>
      <c r="H47" t="str">
        <f t="shared" ca="1" si="1"/>
        <v>Allegiant</v>
      </c>
      <c r="I47" s="2">
        <f t="shared" si="2"/>
        <v>42815</v>
      </c>
      <c r="J47" s="2">
        <f t="shared" si="3"/>
        <v>42816</v>
      </c>
      <c r="K47">
        <v>1113.29</v>
      </c>
    </row>
    <row r="48" spans="6:11" x14ac:dyDescent="0.25">
      <c r="F48">
        <v>46</v>
      </c>
      <c r="G48" s="3" t="str">
        <f t="shared" ca="1" si="0"/>
        <v>google flights</v>
      </c>
      <c r="H48" t="str">
        <f t="shared" ca="1" si="1"/>
        <v>United</v>
      </c>
      <c r="I48" s="2">
        <f t="shared" si="2"/>
        <v>42816</v>
      </c>
      <c r="J48" s="2">
        <f t="shared" si="3"/>
        <v>42817</v>
      </c>
      <c r="K48">
        <v>1123.8900000000001</v>
      </c>
    </row>
    <row r="49" spans="6:11" x14ac:dyDescent="0.25">
      <c r="F49">
        <v>47</v>
      </c>
      <c r="G49" s="3" t="str">
        <f t="shared" ca="1" si="0"/>
        <v>booking.com</v>
      </c>
      <c r="H49" t="str">
        <f t="shared" ca="1" si="1"/>
        <v>United</v>
      </c>
      <c r="I49" s="2">
        <f t="shared" si="2"/>
        <v>42817</v>
      </c>
      <c r="J49" s="2">
        <f t="shared" si="3"/>
        <v>42818</v>
      </c>
      <c r="K49">
        <v>1054.1500000000001</v>
      </c>
    </row>
    <row r="50" spans="6:11" x14ac:dyDescent="0.25">
      <c r="F50">
        <v>48</v>
      </c>
      <c r="G50" s="3" t="str">
        <f t="shared" ca="1" si="0"/>
        <v>booking.com</v>
      </c>
      <c r="H50" t="str">
        <f t="shared" ca="1" si="1"/>
        <v>United</v>
      </c>
      <c r="I50" s="2">
        <f t="shared" si="2"/>
        <v>42818</v>
      </c>
      <c r="J50" s="2">
        <f t="shared" si="3"/>
        <v>42819</v>
      </c>
      <c r="K50">
        <v>989.56</v>
      </c>
    </row>
    <row r="51" spans="6:11" x14ac:dyDescent="0.25">
      <c r="F51">
        <v>49</v>
      </c>
      <c r="G51" s="3" t="str">
        <f t="shared" ca="1" si="0"/>
        <v>google flights</v>
      </c>
      <c r="H51" t="str">
        <f t="shared" ca="1" si="1"/>
        <v>American</v>
      </c>
      <c r="I51" s="2">
        <f t="shared" si="2"/>
        <v>42819</v>
      </c>
      <c r="J51" s="2">
        <f t="shared" si="3"/>
        <v>42820</v>
      </c>
      <c r="K51">
        <v>1031.8900000000001</v>
      </c>
    </row>
    <row r="52" spans="6:11" x14ac:dyDescent="0.25">
      <c r="F52">
        <v>50</v>
      </c>
      <c r="G52" s="3" t="str">
        <f t="shared" ca="1" si="0"/>
        <v>google flights</v>
      </c>
      <c r="H52" t="str">
        <f t="shared" ca="1" si="1"/>
        <v>United</v>
      </c>
      <c r="I52" s="2">
        <f t="shared" si="2"/>
        <v>42820</v>
      </c>
      <c r="J52" s="2">
        <f t="shared" si="3"/>
        <v>42821</v>
      </c>
      <c r="K52">
        <v>1002.92</v>
      </c>
    </row>
    <row r="53" spans="6:11" x14ac:dyDescent="0.25">
      <c r="F53">
        <v>51</v>
      </c>
      <c r="G53" s="3" t="str">
        <f t="shared" ca="1" si="0"/>
        <v>booking.com</v>
      </c>
      <c r="H53" t="str">
        <f t="shared" ca="1" si="1"/>
        <v>Allegiant</v>
      </c>
      <c r="I53" s="2">
        <f t="shared" si="2"/>
        <v>42821</v>
      </c>
      <c r="J53" s="2">
        <f t="shared" si="3"/>
        <v>42822</v>
      </c>
      <c r="K53">
        <v>921.72</v>
      </c>
    </row>
    <row r="54" spans="6:11" x14ac:dyDescent="0.25">
      <c r="F54">
        <v>52</v>
      </c>
      <c r="G54" s="3" t="str">
        <f t="shared" ca="1" si="0"/>
        <v>Kayak.com</v>
      </c>
      <c r="H54" t="str">
        <f t="shared" ca="1" si="1"/>
        <v>Southwest</v>
      </c>
      <c r="I54" s="2">
        <f t="shared" si="2"/>
        <v>42822</v>
      </c>
      <c r="J54" s="2">
        <f t="shared" si="3"/>
        <v>42823</v>
      </c>
      <c r="K54">
        <v>897.32</v>
      </c>
    </row>
    <row r="55" spans="6:11" x14ac:dyDescent="0.25">
      <c r="F55">
        <v>53</v>
      </c>
      <c r="G55" s="3" t="str">
        <f t="shared" ca="1" si="0"/>
        <v>Kayak.com</v>
      </c>
      <c r="H55" t="str">
        <f t="shared" ca="1" si="1"/>
        <v>American</v>
      </c>
      <c r="I55" s="2">
        <f t="shared" si="2"/>
        <v>42823</v>
      </c>
      <c r="J55" s="2">
        <f t="shared" si="3"/>
        <v>42824</v>
      </c>
      <c r="K55">
        <v>883.95</v>
      </c>
    </row>
    <row r="56" spans="6:11" x14ac:dyDescent="0.25">
      <c r="F56">
        <v>54</v>
      </c>
      <c r="G56" s="3" t="str">
        <f t="shared" ca="1" si="0"/>
        <v>booking.com</v>
      </c>
      <c r="H56" t="str">
        <f t="shared" ca="1" si="1"/>
        <v>United</v>
      </c>
      <c r="I56" s="2">
        <f t="shared" si="2"/>
        <v>42824</v>
      </c>
      <c r="J56" s="2">
        <f t="shared" si="3"/>
        <v>42825</v>
      </c>
      <c r="K56">
        <v>861.19</v>
      </c>
    </row>
    <row r="57" spans="6:11" x14ac:dyDescent="0.25">
      <c r="F57">
        <v>55</v>
      </c>
      <c r="G57" s="3" t="str">
        <f t="shared" ca="1" si="0"/>
        <v>Kayak.com</v>
      </c>
      <c r="H57" t="str">
        <f t="shared" ca="1" si="1"/>
        <v>Allegiant</v>
      </c>
      <c r="I57" s="2">
        <f t="shared" si="2"/>
        <v>42825</v>
      </c>
      <c r="J57" s="2">
        <f t="shared" si="3"/>
        <v>42826</v>
      </c>
      <c r="K57">
        <v>934.37</v>
      </c>
    </row>
    <row r="58" spans="6:11" x14ac:dyDescent="0.25">
      <c r="F58">
        <v>56</v>
      </c>
      <c r="G58" s="3" t="str">
        <f t="shared" ca="1" si="0"/>
        <v>google flights</v>
      </c>
      <c r="H58" t="str">
        <f t="shared" ca="1" si="1"/>
        <v>Allegiant</v>
      </c>
      <c r="I58" s="2">
        <f t="shared" si="2"/>
        <v>42826</v>
      </c>
      <c r="J58" s="2">
        <f t="shared" si="3"/>
        <v>42827</v>
      </c>
      <c r="K58">
        <v>1035.24</v>
      </c>
    </row>
    <row r="59" spans="6:11" x14ac:dyDescent="0.25">
      <c r="F59">
        <v>57</v>
      </c>
      <c r="G59" s="3" t="str">
        <f t="shared" ca="1" si="0"/>
        <v>cheap-flights.org</v>
      </c>
      <c r="H59" t="str">
        <f t="shared" ca="1" si="1"/>
        <v>American</v>
      </c>
      <c r="I59" s="2">
        <f t="shared" si="2"/>
        <v>42827</v>
      </c>
      <c r="J59" s="2">
        <f t="shared" si="3"/>
        <v>42828</v>
      </c>
      <c r="K59">
        <v>1022.39</v>
      </c>
    </row>
    <row r="60" spans="6:11" x14ac:dyDescent="0.25">
      <c r="F60">
        <v>58</v>
      </c>
      <c r="G60" s="3" t="str">
        <f t="shared" ca="1" si="0"/>
        <v>Kayak.com</v>
      </c>
      <c r="H60" t="str">
        <f t="shared" ca="1" si="1"/>
        <v>Allegiant</v>
      </c>
      <c r="I60" s="2">
        <f t="shared" si="2"/>
        <v>42828</v>
      </c>
      <c r="J60" s="2">
        <f t="shared" si="3"/>
        <v>42829</v>
      </c>
      <c r="K60">
        <v>992.77</v>
      </c>
    </row>
    <row r="61" spans="6:11" x14ac:dyDescent="0.25">
      <c r="F61">
        <v>59</v>
      </c>
      <c r="G61" s="3" t="str">
        <f t="shared" ca="1" si="0"/>
        <v>cheap-flights.org</v>
      </c>
      <c r="H61" t="str">
        <f t="shared" ca="1" si="1"/>
        <v>Southwest</v>
      </c>
      <c r="I61" s="2">
        <f t="shared" si="2"/>
        <v>42829</v>
      </c>
      <c r="J61" s="2">
        <f t="shared" si="3"/>
        <v>42830</v>
      </c>
      <c r="K61">
        <v>944.7</v>
      </c>
    </row>
    <row r="62" spans="6:11" x14ac:dyDescent="0.25">
      <c r="F62">
        <v>60</v>
      </c>
      <c r="G62" s="3" t="str">
        <f t="shared" ca="1" si="0"/>
        <v>booking.com</v>
      </c>
      <c r="H62" t="str">
        <f t="shared" ca="1" si="1"/>
        <v>Allegiant</v>
      </c>
      <c r="I62" s="2">
        <f t="shared" si="2"/>
        <v>42830</v>
      </c>
      <c r="J62" s="2">
        <f t="shared" si="3"/>
        <v>42831</v>
      </c>
      <c r="K62">
        <v>899.39</v>
      </c>
    </row>
    <row r="63" spans="6:11" x14ac:dyDescent="0.25">
      <c r="F63">
        <v>61</v>
      </c>
      <c r="G63" s="3" t="str">
        <f t="shared" ca="1" si="0"/>
        <v>booking.com</v>
      </c>
      <c r="H63" t="str">
        <f t="shared" ca="1" si="1"/>
        <v>American</v>
      </c>
      <c r="I63" s="2">
        <f t="shared" si="2"/>
        <v>42831</v>
      </c>
      <c r="J63" s="2">
        <f t="shared" si="3"/>
        <v>42832</v>
      </c>
      <c r="K63">
        <v>916.46</v>
      </c>
    </row>
    <row r="64" spans="6:11" x14ac:dyDescent="0.25">
      <c r="F64">
        <v>62</v>
      </c>
      <c r="G64" s="3" t="str">
        <f t="shared" ca="1" si="0"/>
        <v>google flights</v>
      </c>
      <c r="H64" t="str">
        <f t="shared" ca="1" si="1"/>
        <v>United</v>
      </c>
      <c r="I64" s="2">
        <f t="shared" si="2"/>
        <v>42832</v>
      </c>
      <c r="J64" s="2">
        <f t="shared" si="3"/>
        <v>42833</v>
      </c>
      <c r="K64">
        <v>906.1</v>
      </c>
    </row>
    <row r="65" spans="6:11" x14ac:dyDescent="0.25">
      <c r="F65">
        <v>63</v>
      </c>
      <c r="G65" s="3" t="str">
        <f t="shared" ca="1" si="0"/>
        <v>google flights</v>
      </c>
      <c r="H65" t="str">
        <f t="shared" ca="1" si="1"/>
        <v>Southwest</v>
      </c>
      <c r="I65" s="2">
        <f t="shared" si="2"/>
        <v>42833</v>
      </c>
      <c r="J65" s="2">
        <f t="shared" si="3"/>
        <v>42834</v>
      </c>
      <c r="K65">
        <v>896.17</v>
      </c>
    </row>
    <row r="66" spans="6:11" x14ac:dyDescent="0.25">
      <c r="F66">
        <v>64</v>
      </c>
      <c r="G66" s="3" t="str">
        <f t="shared" ca="1" si="0"/>
        <v>cheap-flights.org</v>
      </c>
      <c r="H66" t="str">
        <f t="shared" ca="1" si="1"/>
        <v>Southwest</v>
      </c>
      <c r="I66" s="2">
        <f t="shared" si="2"/>
        <v>42834</v>
      </c>
      <c r="J66" s="2">
        <f t="shared" si="3"/>
        <v>42835</v>
      </c>
      <c r="K66">
        <v>921.68</v>
      </c>
    </row>
    <row r="67" spans="6:11" x14ac:dyDescent="0.25">
      <c r="F67">
        <v>65</v>
      </c>
      <c r="G67" s="3" t="str">
        <f t="shared" ca="1" si="0"/>
        <v>cheap-flights.org</v>
      </c>
      <c r="H67" t="str">
        <f t="shared" ca="1" si="1"/>
        <v>Southwest</v>
      </c>
      <c r="I67" s="2">
        <f t="shared" si="2"/>
        <v>42835</v>
      </c>
      <c r="J67" s="2">
        <f t="shared" si="3"/>
        <v>42836</v>
      </c>
      <c r="K67">
        <v>901.16</v>
      </c>
    </row>
    <row r="68" spans="6:11" x14ac:dyDescent="0.25">
      <c r="F68">
        <v>66</v>
      </c>
      <c r="G68" s="3" t="str">
        <f t="shared" ref="G68:G92" ca="1" si="4">CHOOSE(RANDBETWEEN(1,4),"google flights","Kayak.com","booking.com","cheap-flights.org")</f>
        <v>google flights</v>
      </c>
      <c r="H68" t="str">
        <f t="shared" ref="H68:H92" ca="1" si="5">CHOOSE(RANDBETWEEN(1,4),"United","American","Southwest","Allegiant")</f>
        <v>Southwest</v>
      </c>
      <c r="I68" s="2">
        <f t="shared" si="2"/>
        <v>42836</v>
      </c>
      <c r="J68" s="2">
        <f t="shared" si="3"/>
        <v>42837</v>
      </c>
      <c r="K68">
        <v>916.62</v>
      </c>
    </row>
    <row r="69" spans="6:11" x14ac:dyDescent="0.25">
      <c r="F69">
        <v>67</v>
      </c>
      <c r="G69" s="3" t="str">
        <f t="shared" ca="1" si="4"/>
        <v>cheap-flights.org</v>
      </c>
      <c r="H69" t="str">
        <f t="shared" ca="1" si="5"/>
        <v>American</v>
      </c>
      <c r="I69" s="2">
        <f t="shared" ref="I69:I92" si="6">I$3+F69</f>
        <v>42837</v>
      </c>
      <c r="J69" s="2">
        <f t="shared" ref="J69:J92" si="7">J$3+$F69</f>
        <v>42838</v>
      </c>
      <c r="K69">
        <v>880.02</v>
      </c>
    </row>
    <row r="70" spans="6:11" x14ac:dyDescent="0.25">
      <c r="F70">
        <v>68</v>
      </c>
      <c r="G70" s="3" t="str">
        <f t="shared" ca="1" si="4"/>
        <v>Kayak.com</v>
      </c>
      <c r="H70" t="str">
        <f t="shared" ca="1" si="5"/>
        <v>American</v>
      </c>
      <c r="I70" s="2">
        <f t="shared" si="6"/>
        <v>42838</v>
      </c>
      <c r="J70" s="2">
        <f t="shared" si="7"/>
        <v>42839</v>
      </c>
      <c r="K70">
        <v>841.6</v>
      </c>
    </row>
    <row r="71" spans="6:11" x14ac:dyDescent="0.25">
      <c r="F71">
        <v>69</v>
      </c>
      <c r="G71" s="3" t="str">
        <f t="shared" ca="1" si="4"/>
        <v>Kayak.com</v>
      </c>
      <c r="H71" t="str">
        <f t="shared" ca="1" si="5"/>
        <v>Allegiant</v>
      </c>
      <c r="I71" s="2">
        <f t="shared" si="6"/>
        <v>42839</v>
      </c>
      <c r="J71" s="2">
        <f t="shared" si="7"/>
        <v>42840</v>
      </c>
      <c r="K71">
        <v>850.5</v>
      </c>
    </row>
    <row r="72" spans="6:11" x14ac:dyDescent="0.25">
      <c r="F72">
        <v>70</v>
      </c>
      <c r="G72" s="3" t="str">
        <f t="shared" ca="1" si="4"/>
        <v>google flights</v>
      </c>
      <c r="H72" t="str">
        <f t="shared" ca="1" si="5"/>
        <v>Allegiant</v>
      </c>
      <c r="I72" s="2">
        <f t="shared" si="6"/>
        <v>42840</v>
      </c>
      <c r="J72" s="2">
        <f t="shared" si="7"/>
        <v>42841</v>
      </c>
      <c r="K72">
        <v>792.99</v>
      </c>
    </row>
    <row r="73" spans="6:11" x14ac:dyDescent="0.25">
      <c r="F73">
        <v>71</v>
      </c>
      <c r="G73" s="3" t="str">
        <f t="shared" ca="1" si="4"/>
        <v>cheap-flights.org</v>
      </c>
      <c r="H73" t="str">
        <f t="shared" ca="1" si="5"/>
        <v>American</v>
      </c>
      <c r="I73" s="2">
        <f t="shared" si="6"/>
        <v>42841</v>
      </c>
      <c r="J73" s="2">
        <f t="shared" si="7"/>
        <v>42842</v>
      </c>
      <c r="K73">
        <v>788.82</v>
      </c>
    </row>
    <row r="74" spans="6:11" x14ac:dyDescent="0.25">
      <c r="F74">
        <v>72</v>
      </c>
      <c r="G74" s="3" t="str">
        <f t="shared" ca="1" si="4"/>
        <v>Kayak.com</v>
      </c>
      <c r="H74" t="str">
        <f t="shared" ca="1" si="5"/>
        <v>United</v>
      </c>
      <c r="I74" s="2">
        <f t="shared" si="6"/>
        <v>42842</v>
      </c>
      <c r="J74" s="2">
        <f t="shared" si="7"/>
        <v>42843</v>
      </c>
      <c r="K74">
        <v>842.42</v>
      </c>
    </row>
    <row r="75" spans="6:11" x14ac:dyDescent="0.25">
      <c r="F75">
        <v>73</v>
      </c>
      <c r="G75" s="3" t="str">
        <f t="shared" ca="1" si="4"/>
        <v>cheap-flights.org</v>
      </c>
      <c r="H75" t="str">
        <f t="shared" ca="1" si="5"/>
        <v>Allegiant</v>
      </c>
      <c r="I75" s="2">
        <f t="shared" si="6"/>
        <v>42843</v>
      </c>
      <c r="J75" s="2">
        <f t="shared" si="7"/>
        <v>42844</v>
      </c>
      <c r="K75">
        <v>815.92</v>
      </c>
    </row>
    <row r="76" spans="6:11" x14ac:dyDescent="0.25">
      <c r="F76">
        <v>74</v>
      </c>
      <c r="G76" s="3" t="str">
        <f t="shared" ca="1" si="4"/>
        <v>google flights</v>
      </c>
      <c r="H76" t="str">
        <f t="shared" ca="1" si="5"/>
        <v>Southwest</v>
      </c>
      <c r="I76" s="2">
        <f t="shared" si="6"/>
        <v>42844</v>
      </c>
      <c r="J76" s="2">
        <f t="shared" si="7"/>
        <v>42845</v>
      </c>
      <c r="K76">
        <v>848.79</v>
      </c>
    </row>
    <row r="77" spans="6:11" x14ac:dyDescent="0.25">
      <c r="F77">
        <v>75</v>
      </c>
      <c r="G77" s="3" t="str">
        <f t="shared" ca="1" si="4"/>
        <v>Kayak.com</v>
      </c>
      <c r="H77" t="str">
        <f t="shared" ca="1" si="5"/>
        <v>United</v>
      </c>
      <c r="I77" s="2">
        <f t="shared" si="6"/>
        <v>42845</v>
      </c>
      <c r="J77" s="2">
        <f t="shared" si="7"/>
        <v>42846</v>
      </c>
      <c r="K77">
        <v>835.8</v>
      </c>
    </row>
    <row r="78" spans="6:11" x14ac:dyDescent="0.25">
      <c r="F78">
        <v>76</v>
      </c>
      <c r="G78" s="3" t="str">
        <f t="shared" ca="1" si="4"/>
        <v>booking.com</v>
      </c>
      <c r="H78" t="str">
        <f t="shared" ca="1" si="5"/>
        <v>United</v>
      </c>
      <c r="I78" s="2">
        <f t="shared" si="6"/>
        <v>42846</v>
      </c>
      <c r="J78" s="2">
        <f t="shared" si="7"/>
        <v>42847</v>
      </c>
      <c r="K78">
        <v>812.95</v>
      </c>
    </row>
    <row r="79" spans="6:11" x14ac:dyDescent="0.25">
      <c r="F79">
        <v>77</v>
      </c>
      <c r="G79" s="3" t="str">
        <f t="shared" ca="1" si="4"/>
        <v>google flights</v>
      </c>
      <c r="H79" t="str">
        <f t="shared" ca="1" si="5"/>
        <v>Allegiant</v>
      </c>
      <c r="I79" s="2">
        <f t="shared" si="6"/>
        <v>42847</v>
      </c>
      <c r="J79" s="2">
        <f t="shared" si="7"/>
        <v>42848</v>
      </c>
      <c r="K79">
        <v>871.93</v>
      </c>
    </row>
    <row r="80" spans="6:11" x14ac:dyDescent="0.25">
      <c r="F80">
        <v>78</v>
      </c>
      <c r="G80" s="3" t="str">
        <f t="shared" ca="1" si="4"/>
        <v>Kayak.com</v>
      </c>
      <c r="H80" t="str">
        <f t="shared" ca="1" si="5"/>
        <v>United</v>
      </c>
      <c r="I80" s="2">
        <f t="shared" si="6"/>
        <v>42848</v>
      </c>
      <c r="J80" s="2">
        <f t="shared" si="7"/>
        <v>42849</v>
      </c>
      <c r="K80">
        <v>886.72</v>
      </c>
    </row>
    <row r="81" spans="6:11" x14ac:dyDescent="0.25">
      <c r="F81">
        <v>79</v>
      </c>
      <c r="G81" s="3" t="str">
        <f t="shared" ca="1" si="4"/>
        <v>booking.com</v>
      </c>
      <c r="H81" t="str">
        <f t="shared" ca="1" si="5"/>
        <v>American</v>
      </c>
      <c r="I81" s="2">
        <f t="shared" si="6"/>
        <v>42849</v>
      </c>
      <c r="J81" s="2">
        <f t="shared" si="7"/>
        <v>42850</v>
      </c>
      <c r="K81">
        <v>901.27</v>
      </c>
    </row>
    <row r="82" spans="6:11" x14ac:dyDescent="0.25">
      <c r="F82">
        <v>80</v>
      </c>
      <c r="G82" s="3" t="str">
        <f t="shared" ca="1" si="4"/>
        <v>booking.com</v>
      </c>
      <c r="H82" t="str">
        <f t="shared" ca="1" si="5"/>
        <v>Allegiant</v>
      </c>
      <c r="I82" s="2">
        <f t="shared" si="6"/>
        <v>42850</v>
      </c>
      <c r="J82" s="2">
        <f t="shared" si="7"/>
        <v>42851</v>
      </c>
      <c r="K82">
        <v>893.18</v>
      </c>
    </row>
    <row r="83" spans="6:11" x14ac:dyDescent="0.25">
      <c r="F83">
        <v>81</v>
      </c>
      <c r="G83" s="3" t="str">
        <f t="shared" ca="1" si="4"/>
        <v>Kayak.com</v>
      </c>
      <c r="H83" t="str">
        <f t="shared" ca="1" si="5"/>
        <v>United</v>
      </c>
      <c r="I83" s="2">
        <f t="shared" si="6"/>
        <v>42851</v>
      </c>
      <c r="J83" s="2">
        <f t="shared" si="7"/>
        <v>42852</v>
      </c>
      <c r="K83">
        <v>837.26</v>
      </c>
    </row>
    <row r="84" spans="6:11" x14ac:dyDescent="0.25">
      <c r="F84">
        <v>82</v>
      </c>
      <c r="G84" s="3" t="str">
        <f t="shared" ca="1" si="4"/>
        <v>Kayak.com</v>
      </c>
      <c r="H84" t="str">
        <f t="shared" ca="1" si="5"/>
        <v>United</v>
      </c>
      <c r="I84" s="2">
        <f t="shared" si="6"/>
        <v>42852</v>
      </c>
      <c r="J84" s="2">
        <f t="shared" si="7"/>
        <v>42853</v>
      </c>
      <c r="K84">
        <v>843.72</v>
      </c>
    </row>
    <row r="85" spans="6:11" x14ac:dyDescent="0.25">
      <c r="F85">
        <v>83</v>
      </c>
      <c r="G85" s="3" t="str">
        <f t="shared" ca="1" si="4"/>
        <v>cheap-flights.org</v>
      </c>
      <c r="H85" t="str">
        <f t="shared" ca="1" si="5"/>
        <v>Allegiant</v>
      </c>
      <c r="I85" s="2">
        <f t="shared" si="6"/>
        <v>42853</v>
      </c>
      <c r="J85" s="2">
        <f t="shared" si="7"/>
        <v>42854</v>
      </c>
      <c r="K85">
        <v>865.45</v>
      </c>
    </row>
    <row r="86" spans="6:11" x14ac:dyDescent="0.25">
      <c r="F86">
        <v>84</v>
      </c>
      <c r="G86" s="3" t="str">
        <f t="shared" ca="1" si="4"/>
        <v>booking.com</v>
      </c>
      <c r="H86" t="str">
        <f t="shared" ca="1" si="5"/>
        <v>United</v>
      </c>
      <c r="I86" s="2">
        <f t="shared" si="6"/>
        <v>42854</v>
      </c>
      <c r="J86" s="2">
        <f t="shared" si="7"/>
        <v>42855</v>
      </c>
      <c r="K86">
        <v>926.53</v>
      </c>
    </row>
    <row r="87" spans="6:11" x14ac:dyDescent="0.25">
      <c r="F87">
        <v>85</v>
      </c>
      <c r="G87" s="3" t="str">
        <f t="shared" ca="1" si="4"/>
        <v>google flights</v>
      </c>
      <c r="H87" t="str">
        <f t="shared" ca="1" si="5"/>
        <v>United</v>
      </c>
      <c r="I87" s="2">
        <f t="shared" si="6"/>
        <v>42855</v>
      </c>
      <c r="J87" s="2">
        <f t="shared" si="7"/>
        <v>42856</v>
      </c>
      <c r="K87">
        <v>972.74</v>
      </c>
    </row>
    <row r="88" spans="6:11" x14ac:dyDescent="0.25">
      <c r="F88">
        <v>86</v>
      </c>
      <c r="G88" s="3" t="str">
        <f t="shared" ca="1" si="4"/>
        <v>cheap-flights.org</v>
      </c>
      <c r="H88" t="str">
        <f t="shared" ca="1" si="5"/>
        <v>United</v>
      </c>
      <c r="I88" s="2">
        <f t="shared" si="6"/>
        <v>42856</v>
      </c>
      <c r="J88" s="2">
        <f t="shared" si="7"/>
        <v>42857</v>
      </c>
      <c r="K88">
        <v>880.07</v>
      </c>
    </row>
    <row r="89" spans="6:11" x14ac:dyDescent="0.25">
      <c r="F89">
        <v>87</v>
      </c>
      <c r="G89" s="3" t="str">
        <f t="shared" ca="1" si="4"/>
        <v>google flights</v>
      </c>
      <c r="H89" t="str">
        <f t="shared" ca="1" si="5"/>
        <v>United</v>
      </c>
      <c r="I89" s="2">
        <f t="shared" si="6"/>
        <v>42857</v>
      </c>
      <c r="J89" s="2">
        <f t="shared" si="7"/>
        <v>42858</v>
      </c>
      <c r="K89">
        <v>884.88</v>
      </c>
    </row>
    <row r="90" spans="6:11" x14ac:dyDescent="0.25">
      <c r="F90">
        <v>88</v>
      </c>
      <c r="G90" s="3" t="str">
        <f t="shared" ca="1" si="4"/>
        <v>booking.com</v>
      </c>
      <c r="H90" t="str">
        <f t="shared" ca="1" si="5"/>
        <v>Allegiant</v>
      </c>
      <c r="I90" s="2">
        <f t="shared" si="6"/>
        <v>42858</v>
      </c>
      <c r="J90" s="2">
        <f t="shared" si="7"/>
        <v>42859</v>
      </c>
      <c r="K90">
        <v>948.08</v>
      </c>
    </row>
    <row r="91" spans="6:11" x14ac:dyDescent="0.25">
      <c r="F91">
        <v>89</v>
      </c>
      <c r="G91" s="3" t="str">
        <f t="shared" ca="1" si="4"/>
        <v>Kayak.com</v>
      </c>
      <c r="H91" t="str">
        <f t="shared" ca="1" si="5"/>
        <v>Allegiant</v>
      </c>
      <c r="I91" s="2">
        <f t="shared" si="6"/>
        <v>42859</v>
      </c>
      <c r="J91" s="2">
        <f t="shared" si="7"/>
        <v>42860</v>
      </c>
      <c r="K91">
        <v>939.79</v>
      </c>
    </row>
    <row r="92" spans="6:11" x14ac:dyDescent="0.25">
      <c r="F92">
        <v>90</v>
      </c>
      <c r="G92" s="3" t="str">
        <f t="shared" ca="1" si="4"/>
        <v>booking.com</v>
      </c>
      <c r="H92" t="str">
        <f t="shared" ca="1" si="5"/>
        <v>American</v>
      </c>
      <c r="I92" s="2">
        <f t="shared" si="6"/>
        <v>42860</v>
      </c>
      <c r="J92" s="2">
        <f t="shared" si="7"/>
        <v>42861</v>
      </c>
      <c r="K92">
        <v>961.75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17</vt:i4>
      </vt:variant>
    </vt:vector>
  </HeadingPairs>
  <TitlesOfParts>
    <vt:vector size="20" baseType="lpstr">
      <vt:lpstr>Description</vt:lpstr>
      <vt:lpstr>FlightStart</vt:lpstr>
      <vt:lpstr>FlightInfo</vt:lpstr>
      <vt:lpstr>airline</vt:lpstr>
      <vt:lpstr>date</vt:lpstr>
      <vt:lpstr>flighttable</vt:lpstr>
      <vt:lpstr>GetStarted</vt:lpstr>
      <vt:lpstr>Mean</vt:lpstr>
      <vt:lpstr>ModelDepart</vt:lpstr>
      <vt:lpstr>ModelReturn</vt:lpstr>
      <vt:lpstr>numberedft</vt:lpstr>
      <vt:lpstr>numdays</vt:lpstr>
      <vt:lpstr>price</vt:lpstr>
      <vt:lpstr>PriceRange</vt:lpstr>
      <vt:lpstr>StDev</vt:lpstr>
      <vt:lpstr>user_depart</vt:lpstr>
      <vt:lpstr>user_from</vt:lpstr>
      <vt:lpstr>user_return</vt:lpstr>
      <vt:lpstr>user_to</vt:lpstr>
      <vt:lpstr>website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Yale Waller</dc:creator>
  <cp:lastModifiedBy>Yale Waller</cp:lastModifiedBy>
  <dcterms:created xsi:type="dcterms:W3CDTF">2017-04-24T18:15:53Z</dcterms:created>
  <dcterms:modified xsi:type="dcterms:W3CDTF">2017-04-27T18:26:19Z</dcterms:modified>
</cp:coreProperties>
</file>